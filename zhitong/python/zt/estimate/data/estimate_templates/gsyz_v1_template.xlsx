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949" firstSheet="0" activeTab="6" autoFilterDateGrouping="1"/>
  </bookViews>
  <sheets>
    <sheet name="经济技术指标" sheetId="1" state="visible" r:id="rId1"/>
    <sheet name="估概算总表" sheetId="2" state="visible" r:id="rId2"/>
    <sheet name="1.建筑工程费" sheetId="3" state="visible" r:id="rId3"/>
    <sheet name="2.安装工程费" sheetId="4" state="visible" r:id="rId4"/>
    <sheet name="3.专项工程费" sheetId="5" state="visible" r:id="rId5"/>
    <sheet name="4.室外及配套工程费" sheetId="6" state="visible" r:id="rId6"/>
    <sheet name="5.工程建设其他费用" sheetId="7" state="visible" r:id="rId7"/>
    <sheet name="1.1概算建筑项目清单" sheetId="8" state="visible" r:id="rId8"/>
    <sheet name="2.1估概算安装项目清单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_ "/>
    <numFmt numFmtId="165" formatCode="0.00_ "/>
    <numFmt numFmtId="166" formatCode="[DBNum2][$-804]General"/>
    <numFmt numFmtId="167" formatCode="0.0_ "/>
    <numFmt numFmtId="168" formatCode="_ * #,##0.00_ ;_ * \-#,##0.00_ ;_ * &quot;-&quot;??_ ;_ @_ "/>
    <numFmt numFmtId="169" formatCode="0.0%"/>
  </numFmts>
  <fonts count="79">
    <font>
      <name val="宋体"/>
      <charset val="134"/>
      <color indexed="8"/>
      <sz val="11"/>
      <scheme val="minor"/>
    </font>
    <font>
      <name val="宋体"/>
      <charset val="134"/>
      <color rgb="FF000000"/>
      <sz val="11"/>
      <scheme val="major"/>
    </font>
    <font>
      <name val="宋体"/>
      <charset val="134"/>
      <color indexed="8"/>
      <sz val="10"/>
      <scheme val="major"/>
    </font>
    <font>
      <name val="宋体"/>
      <charset val="134"/>
      <b val="1"/>
      <color rgb="FF000000"/>
      <sz val="11"/>
      <scheme val="major"/>
    </font>
    <font>
      <name val="宋体"/>
      <charset val="134"/>
      <color rgb="FF000000"/>
      <sz val="10"/>
      <scheme val="major"/>
    </font>
    <font>
      <name val="宋体"/>
      <charset val="134"/>
      <b val="1"/>
      <color rgb="FF000000"/>
      <sz val="18"/>
      <scheme val="major"/>
    </font>
    <font>
      <name val="宋体"/>
      <charset val="134"/>
      <b val="1"/>
      <color rgb="FF000000"/>
      <sz val="10"/>
      <scheme val="major"/>
    </font>
    <font>
      <name val="宋体"/>
      <charset val="134"/>
      <b val="1"/>
      <sz val="10"/>
      <scheme val="major"/>
    </font>
    <font>
      <name val="宋体"/>
      <charset val="134"/>
      <b val="1"/>
      <color rgb="FF000000"/>
      <sz val="9"/>
      <scheme val="major"/>
    </font>
    <font>
      <name val="SimSun"/>
      <charset val="134"/>
      <b val="1"/>
      <sz val="10"/>
    </font>
    <font>
      <name val="宋体"/>
      <charset val="134"/>
      <b val="1"/>
      <color rgb="FF000000"/>
      <sz val="10"/>
    </font>
    <font>
      <name val="宋体"/>
      <charset val="134"/>
      <b val="1"/>
      <color indexed="8"/>
      <sz val="10"/>
      <scheme val="major"/>
    </font>
    <font>
      <name val="宋体"/>
      <charset val="134"/>
      <sz val="10"/>
      <scheme val="major"/>
    </font>
    <font>
      <name val="SimSun"/>
      <charset val="134"/>
      <sz val="10"/>
    </font>
    <font>
      <name val="宋体"/>
      <charset val="134"/>
      <color rgb="FFFF0000"/>
      <sz val="10"/>
      <scheme val="major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134"/>
      <color rgb="FF000000"/>
      <sz val="10"/>
    </font>
    <font>
      <name val="等线"/>
      <charset val="134"/>
      <b val="1"/>
      <color rgb="FF000000"/>
      <sz val="18"/>
    </font>
    <font>
      <name val="宋体"/>
      <charset val="134"/>
      <b val="1"/>
      <color rgb="FF000000"/>
      <sz val="18"/>
    </font>
    <font>
      <name val="等线"/>
      <charset val="134"/>
      <color rgb="FF000000"/>
      <sz val="10"/>
    </font>
    <font>
      <name val="宋体"/>
      <charset val="134"/>
      <b val="1"/>
      <sz val="10"/>
    </font>
    <font>
      <name val="宋体"/>
      <charset val="134"/>
      <b val="1"/>
      <color rgb="FF000000"/>
      <sz val="11"/>
    </font>
    <font>
      <name val="宋体"/>
      <charset val="134"/>
      <b val="1"/>
      <color rgb="FF000000"/>
      <sz val="9"/>
    </font>
    <font>
      <name val="等线"/>
      <charset val="134"/>
      <b val="1"/>
      <sz val="10"/>
    </font>
    <font>
      <name val="等线"/>
      <charset val="134"/>
      <b val="1"/>
      <color rgb="FF000000"/>
      <sz val="10"/>
    </font>
    <font>
      <name val="Times New Roman"/>
      <charset val="0"/>
      <b val="1"/>
      <sz val="10"/>
    </font>
    <font>
      <name val="Times New Roman"/>
      <charset val="0"/>
      <sz val="10"/>
    </font>
    <font>
      <name val="宋体"/>
      <charset val="134"/>
      <sz val="10"/>
    </font>
    <font>
      <name val="等线"/>
      <charset val="134"/>
      <sz val="10"/>
    </font>
    <font>
      <name val="宋体"/>
      <charset val="134"/>
      <b val="1"/>
      <color indexed="8"/>
      <sz val="10"/>
    </font>
    <font>
      <name val="宋体"/>
      <charset val="134"/>
      <color indexed="8"/>
      <sz val="10"/>
    </font>
    <font>
      <name val="宋体"/>
      <charset val="134"/>
      <sz val="10"/>
      <scheme val="minor"/>
    </font>
    <font>
      <name val="宋体"/>
      <charset val="134"/>
      <color rgb="FF417FF9"/>
      <sz val="10"/>
    </font>
    <font>
      <name val="宋体"/>
      <charset val="134"/>
      <b val="1"/>
      <color theme="1"/>
      <sz val="10"/>
    </font>
    <font>
      <name val="宋体"/>
      <charset val="134"/>
      <color rgb="FF000000"/>
      <sz val="9"/>
      <scheme val="minor"/>
    </font>
    <font>
      <name val="宋体"/>
      <charset val="134"/>
      <color theme="1"/>
      <sz val="9"/>
      <scheme val="minor"/>
    </font>
    <font>
      <name val="黑体"/>
      <charset val="134"/>
      <b val="1"/>
      <color rgb="FF000000"/>
      <sz val="18"/>
    </font>
    <font>
      <name val="宋体"/>
      <charset val="134"/>
      <b val="1"/>
      <color rgb="FF000000"/>
      <sz val="9"/>
      <scheme val="minor"/>
    </font>
    <font>
      <name val="宋体"/>
      <charset val="134"/>
      <b val="1"/>
      <sz val="9"/>
      <scheme val="minor"/>
    </font>
    <font>
      <name val="宋体"/>
      <charset val="0"/>
      <sz val="9"/>
      <scheme val="minor"/>
    </font>
    <font>
      <name val="宋体"/>
      <charset val="134"/>
      <sz val="9"/>
      <scheme val="minor"/>
    </font>
    <font>
      <name val="宋体"/>
      <charset val="0"/>
      <b val="1"/>
      <sz val="9"/>
      <scheme val="minor"/>
    </font>
    <font>
      <name val="宋体"/>
      <charset val="134"/>
      <b val="1"/>
      <sz val="10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宋体"/>
      <charset val="134"/>
      <color rgb="FF000000"/>
      <sz val="10"/>
      <scheme val="minor"/>
    </font>
    <font>
      <name val="宋体"/>
      <charset val="134"/>
      <b val="1"/>
      <color rgb="FF000000"/>
      <sz val="10"/>
      <scheme val="minor"/>
    </font>
    <font>
      <name val="宋体"/>
      <charset val="0"/>
      <b val="1"/>
      <sz val="10"/>
      <scheme val="minor"/>
    </font>
    <font>
      <name val="宋体"/>
      <charset val="0"/>
      <sz val="10"/>
      <scheme val="minor"/>
    </font>
    <font>
      <name val="宋体"/>
      <charset val="134"/>
      <color indexed="8"/>
      <sz val="10"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1"/>
      <sz val="12"/>
      <scheme val="minor"/>
    </font>
    <font>
      <name val="黑体"/>
      <charset val="134"/>
      <b val="1"/>
      <sz val="20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b val="1"/>
      <color indexed="8"/>
      <sz val="9"/>
      <scheme val="minor"/>
    </font>
    <font>
      <name val="宋体"/>
      <charset val="134"/>
      <b val="1"/>
      <color indexed="8"/>
      <sz val="8"/>
      <scheme val="minor"/>
    </font>
    <font>
      <name val="宋体"/>
      <charset val="134"/>
      <b val="1"/>
      <color rgb="FF000000"/>
      <sz val="8"/>
      <scheme val="major"/>
    </font>
  </fonts>
  <fills count="41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16" fillId="0" borderId="0" applyAlignment="1">
      <alignment vertical="center"/>
    </xf>
    <xf numFmtId="44" fontId="16" fillId="0" borderId="0" applyAlignment="1">
      <alignment vertical="center"/>
    </xf>
    <xf numFmtId="9" fontId="16" fillId="0" borderId="0" applyAlignment="1">
      <alignment vertical="center"/>
    </xf>
    <xf numFmtId="41" fontId="16" fillId="0" borderId="0" applyAlignment="1">
      <alignment vertical="center"/>
    </xf>
    <xf numFmtId="42" fontId="16" fillId="0" borderId="0" applyAlignment="1">
      <alignment vertical="center"/>
    </xf>
    <xf numFmtId="0" fontId="56" fillId="0" borderId="0" applyAlignment="1">
      <alignment vertical="center"/>
    </xf>
    <xf numFmtId="0" fontId="57" fillId="0" borderId="0" applyAlignment="1">
      <alignment vertical="center"/>
    </xf>
    <xf numFmtId="0" fontId="16" fillId="10" borderId="17" applyAlignment="1">
      <alignment vertical="center"/>
    </xf>
    <xf numFmtId="0" fontId="58" fillId="0" borderId="0" applyAlignment="1">
      <alignment vertical="center"/>
    </xf>
    <xf numFmtId="0" fontId="59" fillId="0" borderId="0" applyAlignment="1">
      <alignment vertical="center"/>
    </xf>
    <xf numFmtId="0" fontId="60" fillId="0" borderId="0" applyAlignment="1">
      <alignment vertical="center"/>
    </xf>
    <xf numFmtId="0" fontId="61" fillId="0" borderId="18" applyAlignment="1">
      <alignment vertical="center"/>
    </xf>
    <xf numFmtId="0" fontId="62" fillId="0" borderId="18" applyAlignment="1">
      <alignment vertical="center"/>
    </xf>
    <xf numFmtId="0" fontId="63" fillId="0" borderId="19" applyAlignment="1">
      <alignment vertical="center"/>
    </xf>
    <xf numFmtId="0" fontId="63" fillId="0" borderId="0" applyAlignment="1">
      <alignment vertical="center"/>
    </xf>
    <xf numFmtId="0" fontId="64" fillId="11" borderId="20" applyAlignment="1">
      <alignment vertical="center"/>
    </xf>
    <xf numFmtId="0" fontId="65" fillId="12" borderId="21" applyAlignment="1">
      <alignment vertical="center"/>
    </xf>
    <xf numFmtId="0" fontId="66" fillId="12" borderId="20" applyAlignment="1">
      <alignment vertical="center"/>
    </xf>
    <xf numFmtId="0" fontId="67" fillId="13" borderId="22" applyAlignment="1">
      <alignment vertical="center"/>
    </xf>
    <xf numFmtId="0" fontId="68" fillId="0" borderId="23" applyAlignment="1">
      <alignment vertical="center"/>
    </xf>
    <xf numFmtId="0" fontId="69" fillId="0" borderId="24" applyAlignment="1">
      <alignment vertical="center"/>
    </xf>
    <xf numFmtId="0" fontId="70" fillId="14" borderId="0" applyAlignment="1">
      <alignment vertical="center"/>
    </xf>
    <xf numFmtId="0" fontId="71" fillId="15" borderId="0" applyAlignment="1">
      <alignment vertical="center"/>
    </xf>
    <xf numFmtId="0" fontId="72" fillId="16" borderId="0" applyAlignment="1">
      <alignment vertical="center"/>
    </xf>
    <xf numFmtId="0" fontId="73" fillId="17" borderId="0" applyAlignment="1">
      <alignment vertical="center"/>
    </xf>
    <xf numFmtId="0" fontId="74" fillId="18" borderId="0" applyAlignment="1">
      <alignment vertical="center"/>
    </xf>
    <xf numFmtId="0" fontId="74" fillId="19" borderId="0" applyAlignment="1">
      <alignment vertical="center"/>
    </xf>
    <xf numFmtId="0" fontId="73" fillId="20" borderId="0" applyAlignment="1">
      <alignment vertical="center"/>
    </xf>
    <xf numFmtId="0" fontId="73" fillId="21" borderId="0" applyAlignment="1">
      <alignment vertical="center"/>
    </xf>
    <xf numFmtId="0" fontId="74" fillId="22" borderId="0" applyAlignment="1">
      <alignment vertical="center"/>
    </xf>
    <xf numFmtId="0" fontId="74" fillId="23" borderId="0" applyAlignment="1">
      <alignment vertical="center"/>
    </xf>
    <xf numFmtId="0" fontId="73" fillId="24" borderId="0" applyAlignment="1">
      <alignment vertical="center"/>
    </xf>
    <xf numFmtId="0" fontId="73" fillId="25" borderId="0" applyAlignment="1">
      <alignment vertical="center"/>
    </xf>
    <xf numFmtId="0" fontId="74" fillId="26" borderId="0" applyAlignment="1">
      <alignment vertical="center"/>
    </xf>
    <xf numFmtId="0" fontId="74" fillId="27" borderId="0" applyAlignment="1">
      <alignment vertical="center"/>
    </xf>
    <xf numFmtId="0" fontId="73" fillId="28" borderId="0" applyAlignment="1">
      <alignment vertical="center"/>
    </xf>
    <xf numFmtId="0" fontId="73" fillId="29" borderId="0" applyAlignment="1">
      <alignment vertical="center"/>
    </xf>
    <xf numFmtId="0" fontId="74" fillId="30" borderId="0" applyAlignment="1">
      <alignment vertical="center"/>
    </xf>
    <xf numFmtId="0" fontId="74" fillId="31" borderId="0" applyAlignment="1">
      <alignment vertical="center"/>
    </xf>
    <xf numFmtId="0" fontId="73" fillId="32" borderId="0" applyAlignment="1">
      <alignment vertical="center"/>
    </xf>
    <xf numFmtId="0" fontId="73" fillId="33" borderId="0" applyAlignment="1">
      <alignment vertical="center"/>
    </xf>
    <xf numFmtId="0" fontId="74" fillId="34" borderId="0" applyAlignment="1">
      <alignment vertical="center"/>
    </xf>
    <xf numFmtId="0" fontId="74" fillId="35" borderId="0" applyAlignment="1">
      <alignment vertical="center"/>
    </xf>
    <xf numFmtId="0" fontId="73" fillId="36" borderId="0" applyAlignment="1">
      <alignment vertical="center"/>
    </xf>
    <xf numFmtId="0" fontId="73" fillId="37" borderId="0" applyAlignment="1">
      <alignment vertical="center"/>
    </xf>
    <xf numFmtId="0" fontId="74" fillId="38" borderId="0" applyAlignment="1">
      <alignment vertical="center"/>
    </xf>
    <xf numFmtId="0" fontId="74" fillId="39" borderId="0" applyAlignment="1">
      <alignment vertical="center"/>
    </xf>
    <xf numFmtId="0" fontId="73" fillId="4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</cellStyleXfs>
  <cellXfs count="46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49">
      <alignment horizontal="center" vertical="center" wrapText="1"/>
    </xf>
    <xf numFmtId="164" fontId="5" fillId="0" borderId="0" applyAlignment="1" pivotButton="0" quotePrefix="0" xfId="49">
      <alignment horizontal="center" vertical="center" wrapText="1"/>
    </xf>
    <xf numFmtId="165" fontId="5" fillId="0" borderId="0" applyAlignment="1" pivotButton="0" quotePrefix="0" xfId="49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165" fontId="4" fillId="0" borderId="0" applyAlignment="1" pivotButton="0" quotePrefix="0" xfId="49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0" borderId="1" applyAlignment="1" pivotButton="0" quotePrefix="0" xfId="50">
      <alignment horizontal="center" vertical="center" wrapText="1"/>
    </xf>
    <xf numFmtId="164" fontId="7" fillId="0" borderId="1" applyAlignment="1" pivotButton="0" quotePrefix="0" xfId="50">
      <alignment horizontal="center" vertical="center" wrapText="1"/>
    </xf>
    <xf numFmtId="165" fontId="7" fillId="0" borderId="1" applyAlignment="1" pivotButton="0" quotePrefix="0" xfId="5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164" fontId="8" fillId="0" borderId="1" applyAlignment="1" pivotButton="0" quotePrefix="0" xfId="49">
      <alignment horizontal="center" vertical="center" wrapText="1"/>
    </xf>
    <xf numFmtId="165" fontId="6" fillId="0" borderId="1" applyAlignment="1" pivotButton="0" quotePrefix="0" xfId="49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49">
      <alignment horizontal="left" vertical="center" wrapText="1"/>
    </xf>
    <xf numFmtId="0" fontId="6" fillId="3" borderId="4" applyAlignment="1" pivotButton="0" quotePrefix="0" xfId="0">
      <alignment vertical="center" wrapText="1"/>
    </xf>
    <xf numFmtId="0" fontId="11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vertical="center" wrapText="1"/>
    </xf>
    <xf numFmtId="164" fontId="6" fillId="3" borderId="3" applyAlignment="1" pivotButton="0" quotePrefix="0" xfId="49">
      <alignment horizontal="right" vertical="center" wrapText="1"/>
    </xf>
    <xf numFmtId="165" fontId="4" fillId="3" borderId="3" applyAlignment="1" pivotButton="0" quotePrefix="0" xfId="49">
      <alignment horizontal="center" vertical="center"/>
    </xf>
    <xf numFmtId="0" fontId="6" fillId="3" borderId="3" applyAlignment="1" pivotButton="0" quotePrefix="0" xfId="49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12" fillId="0" borderId="5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164" fontId="7" fillId="0" borderId="1" applyAlignment="1" pivotButton="0" quotePrefix="0" xfId="50">
      <alignment horizontal="right" vertical="center" wrapText="1"/>
    </xf>
    <xf numFmtId="165" fontId="4" fillId="0" borderId="1" applyAlignment="1" pivotButton="0" quotePrefix="0" xfId="49">
      <alignment horizontal="center" vertical="center"/>
    </xf>
    <xf numFmtId="0" fontId="12" fillId="0" borderId="5" applyAlignment="1" pivotButton="0" quotePrefix="0" xfId="0">
      <alignment horizontal="left" vertical="center" wrapText="1"/>
    </xf>
    <xf numFmtId="0" fontId="12" fillId="0" borderId="1" applyAlignment="1" pivotButton="0" quotePrefix="0" xfId="5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49">
      <alignment horizontal="right" vertical="center" wrapText="1"/>
    </xf>
    <xf numFmtId="0" fontId="4" fillId="0" borderId="1" applyAlignment="1" pivotButton="0" quotePrefix="0" xfId="49">
      <alignment horizontal="center" vertical="center" wrapText="1"/>
    </xf>
    <xf numFmtId="0" fontId="14" fillId="0" borderId="5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164" fontId="12" fillId="0" borderId="1" applyAlignment="1" pivotButton="0" quotePrefix="0" xfId="50">
      <alignment horizontal="right" vertical="center" wrapText="1"/>
    </xf>
    <xf numFmtId="0" fontId="6" fillId="0" borderId="5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left" vertical="center"/>
    </xf>
    <xf numFmtId="0" fontId="6" fillId="3" borderId="5" applyAlignment="1" pivotButton="0" quotePrefix="0" xfId="0">
      <alignment vertical="center" wrapText="1"/>
    </xf>
    <xf numFmtId="0" fontId="7" fillId="3" borderId="1" applyAlignment="1" pivotButton="0" quotePrefix="0" xfId="50">
      <alignment horizontal="center" vertical="center" wrapText="1"/>
    </xf>
    <xf numFmtId="0" fontId="6" fillId="3" borderId="1" applyAlignment="1" pivotButton="0" quotePrefix="0" xfId="0">
      <alignment vertical="center" wrapText="1"/>
    </xf>
    <xf numFmtId="164" fontId="12" fillId="3" borderId="1" applyAlignment="1" pivotButton="0" quotePrefix="0" xfId="50">
      <alignment horizontal="right" vertical="center" wrapText="1"/>
    </xf>
    <xf numFmtId="165" fontId="4" fillId="3" borderId="1" applyAlignment="1" pivotButton="0" quotePrefix="0" xfId="49">
      <alignment horizontal="center" vertical="center"/>
    </xf>
    <xf numFmtId="0" fontId="6" fillId="3" borderId="1" applyAlignment="1" pivotButton="0" quotePrefix="0" xfId="49">
      <alignment horizontal="center" vertical="center" wrapText="1"/>
    </xf>
    <xf numFmtId="0" fontId="1" fillId="0" borderId="1" applyAlignment="1" pivotButton="0" quotePrefix="0" xfId="0">
      <alignment vertical="center"/>
    </xf>
    <xf numFmtId="165" fontId="4" fillId="0" borderId="1" applyAlignment="1" pivotButton="0" quotePrefix="0" xfId="49">
      <alignment horizontal="center" vertical="center" wrapText="1"/>
    </xf>
    <xf numFmtId="0" fontId="12" fillId="3" borderId="5" applyAlignment="1" pivotButton="0" quotePrefix="0" xfId="0">
      <alignment vertical="center"/>
    </xf>
    <xf numFmtId="0" fontId="12" fillId="3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/>
    </xf>
    <xf numFmtId="0" fontId="4" fillId="3" borderId="1" applyAlignment="1" pivotButton="0" quotePrefix="0" xfId="49">
      <alignment horizontal="center" vertical="center" wrapText="1"/>
    </xf>
    <xf numFmtId="0" fontId="14" fillId="0" borderId="5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14" fillId="2" borderId="5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left" vertical="center" wrapText="1"/>
    </xf>
    <xf numFmtId="0" fontId="6" fillId="3" borderId="6" applyAlignment="1" pivotButton="0" quotePrefix="0" xfId="0">
      <alignment vertical="center" wrapText="1"/>
    </xf>
    <xf numFmtId="0" fontId="4" fillId="0" borderId="7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5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 wrapText="1"/>
    </xf>
    <xf numFmtId="0" fontId="6" fillId="2" borderId="5" applyAlignment="1" pivotButton="0" quotePrefix="0" xfId="0">
      <alignment horizontal="left" vertical="center" wrapText="1"/>
    </xf>
    <xf numFmtId="0" fontId="12" fillId="3" borderId="1" applyAlignment="1" pivotButton="0" quotePrefix="0" xfId="50">
      <alignment horizontal="center" vertical="center" wrapText="1"/>
    </xf>
    <xf numFmtId="164" fontId="7" fillId="3" borderId="1" applyAlignment="1" pivotButton="0" quotePrefix="0" xfId="50">
      <alignment horizontal="center" vertical="center" wrapText="1"/>
    </xf>
    <xf numFmtId="0" fontId="4" fillId="2" borderId="7" applyAlignment="1" pivotButton="0" quotePrefix="0" xfId="0">
      <alignment horizontal="left" vertical="center" wrapText="1"/>
    </xf>
    <xf numFmtId="0" fontId="6" fillId="2" borderId="9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left" vertical="center" wrapText="1"/>
    </xf>
    <xf numFmtId="0" fontId="14" fillId="2" borderId="9" applyAlignment="1" pivotButton="0" quotePrefix="0" xfId="0">
      <alignment horizontal="left" vertical="center" wrapText="1"/>
    </xf>
    <xf numFmtId="0" fontId="14" fillId="2" borderId="10" applyAlignment="1" pivotButton="0" quotePrefix="0" xfId="0">
      <alignment horizontal="left" vertical="center" wrapText="1"/>
    </xf>
    <xf numFmtId="0" fontId="4" fillId="4" borderId="9" applyAlignment="1" pivotButton="0" quotePrefix="0" xfId="0">
      <alignment vertical="center" wrapText="1"/>
    </xf>
    <xf numFmtId="0" fontId="4" fillId="4" borderId="5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14" fillId="4" borderId="9" applyAlignment="1" pivotButton="0" quotePrefix="0" xfId="0">
      <alignment vertical="center" wrapText="1"/>
    </xf>
    <xf numFmtId="0" fontId="14" fillId="4" borderId="5" applyAlignment="1" pivotButton="0" quotePrefix="0" xfId="0">
      <alignment vertical="center" wrapText="1"/>
    </xf>
    <xf numFmtId="0" fontId="14" fillId="4" borderId="1" applyAlignment="1" pivotButton="0" quotePrefix="0" xfId="0">
      <alignment vertical="center" wrapText="1"/>
    </xf>
    <xf numFmtId="0" fontId="12" fillId="0" borderId="5" applyAlignment="1" pivotButton="0" quotePrefix="0" xfId="0">
      <alignment horizontal="center" vertical="center"/>
    </xf>
    <xf numFmtId="0" fontId="4" fillId="2" borderId="11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left" vertical="center" wrapText="1"/>
    </xf>
    <xf numFmtId="0" fontId="12" fillId="0" borderId="5" applyAlignment="1" pivotButton="0" quotePrefix="0" xfId="0">
      <alignment vertical="center" wrapText="1"/>
    </xf>
    <xf numFmtId="165" fontId="1" fillId="0" borderId="1" applyAlignment="1" pivotButton="0" quotePrefix="0" xfId="0">
      <alignment vertical="center"/>
    </xf>
    <xf numFmtId="165" fontId="4" fillId="0" borderId="1" applyAlignment="1" pivotButton="0" quotePrefix="0" xfId="0">
      <alignment horizontal="center" vertical="center"/>
    </xf>
    <xf numFmtId="0" fontId="6" fillId="2" borderId="12" applyAlignment="1" pivotButton="0" quotePrefix="0" xfId="0">
      <alignment horizontal="left" vertical="center" wrapText="1"/>
    </xf>
    <xf numFmtId="0" fontId="4" fillId="2" borderId="12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 wrapText="1"/>
    </xf>
    <xf numFmtId="165" fontId="4" fillId="0" borderId="1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66" fontId="16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49">
      <alignment horizontal="center" vertical="center" wrapText="1"/>
    </xf>
    <xf numFmtId="0" fontId="19" fillId="0" borderId="0" applyAlignment="1" pivotButton="0" quotePrefix="0" xfId="49">
      <alignment horizontal="center" vertical="center" wrapText="1"/>
    </xf>
    <xf numFmtId="0" fontId="20" fillId="0" borderId="0" applyAlignment="1" pivotButton="0" quotePrefix="0" xfId="49">
      <alignment horizontal="left" vertical="center"/>
    </xf>
    <xf numFmtId="0" fontId="17" fillId="0" borderId="0" applyAlignment="1" pivotButton="0" quotePrefix="0" xfId="49">
      <alignment horizontal="left" vertical="center"/>
    </xf>
    <xf numFmtId="0" fontId="10" fillId="0" borderId="1" applyAlignment="1" pivotButton="0" quotePrefix="0" xfId="49">
      <alignment horizontal="center" vertical="center" wrapText="1"/>
    </xf>
    <xf numFmtId="0" fontId="21" fillId="0" borderId="1" applyAlignment="1" pivotButton="0" quotePrefix="0" xfId="50">
      <alignment horizontal="center" vertical="center" wrapText="1"/>
    </xf>
    <xf numFmtId="0" fontId="21" fillId="0" borderId="1" applyAlignment="1" pivotButton="0" quotePrefix="0" xfId="50">
      <alignment horizontal="left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49">
      <alignment horizontal="center" vertical="center" wrapText="1"/>
    </xf>
    <xf numFmtId="0" fontId="22" fillId="0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0" fontId="21" fillId="5" borderId="1" applyAlignment="1" pivotButton="0" quotePrefix="0" xfId="0">
      <alignment vertical="center"/>
    </xf>
    <xf numFmtId="165" fontId="21" fillId="5" borderId="1" applyAlignment="1" pivotButton="0" quotePrefix="0" xfId="0">
      <alignment vertical="center"/>
    </xf>
    <xf numFmtId="0" fontId="21" fillId="5" borderId="1" applyAlignment="1" pivotButton="0" quotePrefix="0" xfId="50">
      <alignment horizontal="center" vertical="center" wrapText="1"/>
    </xf>
    <xf numFmtId="164" fontId="24" fillId="5" borderId="1" applyAlignment="1" pivotButton="0" quotePrefix="0" xfId="50">
      <alignment horizontal="right" vertical="center" wrapText="1"/>
    </xf>
    <xf numFmtId="0" fontId="25" fillId="5" borderId="1" applyAlignment="1" pivotButton="0" quotePrefix="0" xfId="49">
      <alignment horizontal="center" vertical="center"/>
    </xf>
    <xf numFmtId="0" fontId="15" fillId="0" borderId="1" applyAlignment="1" pivotButton="0" quotePrefix="0" xfId="0">
      <alignment vertical="center"/>
    </xf>
    <xf numFmtId="0" fontId="26" fillId="0" borderId="1" applyAlignment="1" pivotButton="0" quotePrefix="0" xfId="0">
      <alignment horizontal="left" vertical="center"/>
    </xf>
    <xf numFmtId="0" fontId="10" fillId="0" borderId="7" applyAlignment="1" pivotButton="0" quotePrefix="0" xfId="0">
      <alignment vertical="center" wrapText="1"/>
    </xf>
    <xf numFmtId="165" fontId="21" fillId="0" borderId="1" applyAlignment="1" pivotButton="0" quotePrefix="0" xfId="0">
      <alignment vertical="center"/>
    </xf>
    <xf numFmtId="0" fontId="21" fillId="0" borderId="1" applyAlignment="1" pivotButton="0" quotePrefix="0" xfId="50">
      <alignment horizontal="center" vertical="center" wrapText="1"/>
    </xf>
    <xf numFmtId="164" fontId="24" fillId="0" borderId="1" applyAlignment="1" pivotButton="0" quotePrefix="0" xfId="50">
      <alignment horizontal="right" vertical="center" wrapText="1"/>
    </xf>
    <xf numFmtId="164" fontId="21" fillId="0" borderId="1" applyAlignment="1" pivotButton="0" quotePrefix="0" xfId="50">
      <alignment horizontal="right" vertical="center" wrapText="1"/>
    </xf>
    <xf numFmtId="0" fontId="25" fillId="0" borderId="1" applyAlignment="1" pivotButton="0" quotePrefix="0" xfId="49">
      <alignment horizontal="center" vertical="center"/>
    </xf>
    <xf numFmtId="0" fontId="21" fillId="0" borderId="1" applyAlignment="1" pivotButton="0" quotePrefix="0" xfId="50">
      <alignment horizontal="left" vertical="center" wrapText="1"/>
    </xf>
    <xf numFmtId="0" fontId="27" fillId="0" borderId="1" applyAlignment="1" pivotButton="0" quotePrefix="0" xfId="0">
      <alignment horizontal="left" vertical="center"/>
    </xf>
    <xf numFmtId="0" fontId="17" fillId="0" borderId="14" applyAlignment="1" pivotButton="0" quotePrefix="0" xfId="0">
      <alignment vertical="center" wrapText="1"/>
    </xf>
    <xf numFmtId="165" fontId="28" fillId="0" borderId="1" applyAlignment="1" pivotButton="0" quotePrefix="0" xfId="0">
      <alignment vertical="center"/>
    </xf>
    <xf numFmtId="0" fontId="28" fillId="0" borderId="1" applyAlignment="1" pivotButton="0" quotePrefix="0" xfId="50">
      <alignment horizontal="center" vertical="center" wrapText="1"/>
    </xf>
    <xf numFmtId="164" fontId="29" fillId="0" borderId="1" applyAlignment="1" pivotButton="0" quotePrefix="0" xfId="50">
      <alignment horizontal="right" vertical="center" wrapText="1"/>
    </xf>
    <xf numFmtId="0" fontId="20" fillId="0" borderId="1" applyAlignment="1" pivotButton="0" quotePrefix="0" xfId="49">
      <alignment horizontal="center" vertical="center"/>
    </xf>
    <xf numFmtId="166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49">
      <alignment horizontal="left" vertical="center"/>
    </xf>
    <xf numFmtId="0" fontId="10" fillId="0" borderId="14" applyAlignment="1" pivotButton="0" quotePrefix="0" xfId="0">
      <alignment vertical="center" wrapText="1"/>
    </xf>
    <xf numFmtId="165" fontId="21" fillId="0" borderId="1" applyAlignment="1" pivotButton="0" quotePrefix="0" xfId="0">
      <alignment horizontal="right" vertical="center"/>
    </xf>
    <xf numFmtId="0" fontId="28" fillId="0" borderId="1" applyAlignment="1" pivotButton="0" quotePrefix="0" xfId="0">
      <alignment vertical="center"/>
    </xf>
    <xf numFmtId="0" fontId="28" fillId="0" borderId="1" applyAlignment="1" pivotButton="0" quotePrefix="0" xfId="50">
      <alignment horizontal="left" vertical="center" wrapText="1"/>
    </xf>
    <xf numFmtId="0" fontId="17" fillId="0" borderId="7" applyAlignment="1" pivotButton="0" quotePrefix="0" xfId="0">
      <alignment vertical="center" wrapText="1"/>
    </xf>
    <xf numFmtId="0" fontId="17" fillId="0" borderId="1" applyAlignment="1" pivotButton="0" quotePrefix="0" xfId="49">
      <alignment horizontal="left" vertical="center" wrapText="1"/>
    </xf>
    <xf numFmtId="0" fontId="17" fillId="0" borderId="1" applyAlignment="1" pivotButton="0" quotePrefix="0" xfId="0">
      <alignment vertical="center" wrapText="1"/>
    </xf>
    <xf numFmtId="0" fontId="10" fillId="0" borderId="1" applyAlignment="1" pivotButton="0" quotePrefix="0" xfId="49">
      <alignment horizontal="left" vertical="center"/>
    </xf>
    <xf numFmtId="0" fontId="17" fillId="0" borderId="1" applyAlignment="1" pivotButton="0" quotePrefix="0" xfId="49">
      <alignment horizontal="left" vertical="center"/>
    </xf>
    <xf numFmtId="0" fontId="10" fillId="0" borderId="1" applyAlignment="1" pivotButton="0" quotePrefix="0" xfId="0">
      <alignment vertical="center" wrapText="1"/>
    </xf>
    <xf numFmtId="166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165" fontId="27" fillId="0" borderId="1" applyAlignment="1" pivotButton="0" quotePrefix="0" xfId="0">
      <alignment horizontal="center" vertical="center"/>
    </xf>
    <xf numFmtId="0" fontId="21" fillId="4" borderId="1" applyAlignment="1" pivotButton="0" quotePrefix="0" xfId="0">
      <alignment vertical="center"/>
    </xf>
    <xf numFmtId="2" fontId="28" fillId="0" borderId="1" applyAlignment="1" pivotButton="0" quotePrefix="0" xfId="0">
      <alignment horizontal="right" vertical="center" wrapText="1"/>
    </xf>
    <xf numFmtId="0" fontId="28" fillId="0" borderId="1" applyAlignment="1" pivotButton="0" quotePrefix="0" xfId="50">
      <alignment horizontal="center" vertical="center" wrapText="1"/>
    </xf>
    <xf numFmtId="164" fontId="28" fillId="0" borderId="1" applyAlignment="1" pivotButton="0" quotePrefix="0" xfId="50">
      <alignment horizontal="right" vertical="center" wrapText="1"/>
    </xf>
    <xf numFmtId="0" fontId="17" fillId="0" borderId="1" applyAlignment="1" pivotButton="0" quotePrefix="0" xfId="49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49">
      <alignment horizontal="center" vertical="center" wrapText="1"/>
    </xf>
    <xf numFmtId="0" fontId="17" fillId="0" borderId="15" applyAlignment="1" pivotButton="0" quotePrefix="0" xfId="49">
      <alignment horizontal="left" vertical="center"/>
    </xf>
    <xf numFmtId="0" fontId="17" fillId="0" borderId="15" applyAlignment="1" pivotButton="0" quotePrefix="0" xfId="49">
      <alignment horizontal="left" vertical="center"/>
    </xf>
    <xf numFmtId="0" fontId="17" fillId="0" borderId="15" applyAlignment="1" pivotButton="0" quotePrefix="0" xfId="49">
      <alignment horizontal="center" vertical="center"/>
    </xf>
    <xf numFmtId="0" fontId="10" fillId="0" borderId="1" applyAlignment="1" pivotButton="0" quotePrefix="0" xfId="49">
      <alignment horizontal="center" vertical="center" wrapText="1"/>
    </xf>
    <xf numFmtId="0" fontId="10" fillId="0" borderId="2" applyAlignment="1" pivotButton="0" quotePrefix="0" xfId="49">
      <alignment horizontal="center" vertical="center" wrapText="1"/>
    </xf>
    <xf numFmtId="0" fontId="10" fillId="0" borderId="3" applyAlignment="1" pivotButton="0" quotePrefix="0" xfId="49">
      <alignment horizontal="center" vertical="center" wrapText="1"/>
    </xf>
    <xf numFmtId="0" fontId="21" fillId="6" borderId="1" applyAlignment="1" pivotButton="0" quotePrefix="0" xfId="0">
      <alignment horizontal="left" vertical="center"/>
    </xf>
    <xf numFmtId="165" fontId="21" fillId="6" borderId="1" applyAlignment="1" pivotButton="0" quotePrefix="0" xfId="0">
      <alignment horizontal="left" vertical="center" wrapText="1"/>
    </xf>
    <xf numFmtId="165" fontId="21" fillId="6" borderId="1" applyAlignment="1" pivotButton="0" quotePrefix="0" xfId="0">
      <alignment horizontal="right" vertical="center" wrapText="1"/>
    </xf>
    <xf numFmtId="0" fontId="21" fillId="6" borderId="1" applyAlignment="1" pivotButton="0" quotePrefix="0" xfId="50">
      <alignment horizontal="center" vertical="center" wrapText="1"/>
    </xf>
    <xf numFmtId="164" fontId="21" fillId="6" borderId="1" applyAlignment="1" pivotButton="0" quotePrefix="0" xfId="50">
      <alignment horizontal="right" vertical="center" wrapText="1"/>
    </xf>
    <xf numFmtId="167" fontId="26" fillId="7" borderId="1" applyAlignment="1" pivotButton="0" quotePrefix="0" xfId="0">
      <alignment horizontal="left" vertical="center"/>
    </xf>
    <xf numFmtId="49" fontId="30" fillId="7" borderId="1" applyAlignment="1" pivotButton="0" quotePrefix="0" xfId="0">
      <alignment horizontal="left" vertical="center" wrapText="1"/>
    </xf>
    <xf numFmtId="165" fontId="21" fillId="7" borderId="1" applyAlignment="1" pivotButton="0" quotePrefix="0" xfId="0">
      <alignment horizontal="right" vertical="center" wrapText="1"/>
    </xf>
    <xf numFmtId="0" fontId="21" fillId="7" borderId="1" applyAlignment="1" pivotButton="0" quotePrefix="0" xfId="50">
      <alignment horizontal="center" vertical="center" wrapText="1"/>
    </xf>
    <xf numFmtId="164" fontId="21" fillId="7" borderId="1" applyAlignment="1" pivotButton="0" quotePrefix="0" xfId="50">
      <alignment horizontal="right" vertical="center" wrapText="1"/>
    </xf>
    <xf numFmtId="165" fontId="27" fillId="0" borderId="1" applyAlignment="1" pivotButton="0" quotePrefix="0" xfId="0">
      <alignment horizontal="left" vertical="center"/>
    </xf>
    <xf numFmtId="49" fontId="31" fillId="0" borderId="1" applyAlignment="1" pivotButton="0" quotePrefix="0" xfId="0">
      <alignment horizontal="left" vertical="center" wrapText="1"/>
    </xf>
    <xf numFmtId="164" fontId="32" fillId="0" borderId="1" applyAlignment="1" pivotButton="0" quotePrefix="0" xfId="50">
      <alignment horizontal="right" vertical="center" wrapText="1"/>
    </xf>
    <xf numFmtId="164" fontId="33" fillId="0" borderId="1" applyAlignment="1" pivotButton="0" quotePrefix="0" xfId="50">
      <alignment horizontal="right" vertical="center" wrapText="1"/>
    </xf>
    <xf numFmtId="164" fontId="28" fillId="4" borderId="1" applyAlignment="1" pivotButton="0" quotePrefix="0" xfId="50">
      <alignment horizontal="right" vertical="center" wrapText="1"/>
    </xf>
    <xf numFmtId="0" fontId="34" fillId="7" borderId="1" applyAlignment="1" pivotButton="0" quotePrefix="0" xfId="0">
      <alignment horizontal="left" vertical="center"/>
    </xf>
    <xf numFmtId="168" fontId="21" fillId="7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 vertical="center" wrapText="1"/>
    </xf>
    <xf numFmtId="2" fontId="21" fillId="7" borderId="1" applyAlignment="1" pivotButton="0" quotePrefix="0" xfId="0">
      <alignment horizontal="right" vertical="center" wrapText="1"/>
    </xf>
    <xf numFmtId="0" fontId="10" fillId="7" borderId="1" applyAlignment="1" pivotButton="0" quotePrefix="0" xfId="49">
      <alignment horizontal="center" vertical="center"/>
    </xf>
    <xf numFmtId="0" fontId="34" fillId="7" borderId="1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166" fontId="36" fillId="0" borderId="0" pivotButton="0" quotePrefix="0" xfId="0"/>
    <xf numFmtId="0" fontId="35" fillId="0" borderId="0" applyAlignment="1" pivotButton="0" quotePrefix="0" xfId="0">
      <alignment horizontal="left" vertical="center"/>
    </xf>
    <xf numFmtId="165" fontId="35" fillId="0" borderId="0" applyAlignment="1" pivotButton="0" quotePrefix="0" xfId="0">
      <alignment vertical="center"/>
    </xf>
    <xf numFmtId="0" fontId="35" fillId="0" borderId="0" applyAlignment="1" pivotButton="0" quotePrefix="0" xfId="0">
      <alignment horizontal="center" vertical="center"/>
    </xf>
    <xf numFmtId="0" fontId="37" fillId="0" borderId="0" applyAlignment="1" pivotButton="0" quotePrefix="0" xfId="49">
      <alignment horizontal="center" vertical="center" wrapText="1"/>
    </xf>
    <xf numFmtId="165" fontId="37" fillId="0" borderId="0" applyAlignment="1" pivotButton="0" quotePrefix="0" xfId="49">
      <alignment horizontal="center" vertical="center" wrapText="1"/>
    </xf>
    <xf numFmtId="0" fontId="35" fillId="0" borderId="15" applyAlignment="1" pivotButton="0" quotePrefix="0" xfId="49">
      <alignment horizontal="left" vertical="center"/>
    </xf>
    <xf numFmtId="165" fontId="35" fillId="0" borderId="15" applyAlignment="1" pivotButton="0" quotePrefix="0" xfId="49">
      <alignment horizontal="left" vertical="center"/>
    </xf>
    <xf numFmtId="0" fontId="35" fillId="0" borderId="15" applyAlignment="1" pivotButton="0" quotePrefix="0" xfId="49">
      <alignment horizontal="center" vertical="center"/>
    </xf>
    <xf numFmtId="0" fontId="38" fillId="0" borderId="1" applyAlignment="1" pivotButton="0" quotePrefix="0" xfId="49">
      <alignment horizontal="center" vertical="center" wrapText="1"/>
    </xf>
    <xf numFmtId="0" fontId="38" fillId="0" borderId="2" applyAlignment="1" pivotButton="0" quotePrefix="0" xfId="49">
      <alignment horizontal="center" vertical="center" wrapText="1"/>
    </xf>
    <xf numFmtId="165" fontId="38" fillId="0" borderId="2" applyAlignment="1" pivotButton="0" quotePrefix="0" xfId="49">
      <alignment horizontal="center" vertical="center" wrapText="1"/>
    </xf>
    <xf numFmtId="0" fontId="39" fillId="0" borderId="1" applyAlignment="1" pivotButton="0" quotePrefix="0" xfId="50">
      <alignment horizontal="center" vertical="center" wrapText="1"/>
    </xf>
    <xf numFmtId="0" fontId="38" fillId="0" borderId="3" applyAlignment="1" pivotButton="0" quotePrefix="0" xfId="49">
      <alignment horizontal="center" vertical="center" wrapText="1"/>
    </xf>
    <xf numFmtId="165" fontId="38" fillId="0" borderId="3" applyAlignment="1" pivotButton="0" quotePrefix="0" xfId="49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39" fillId="5" borderId="1" applyAlignment="1" pivotButton="0" quotePrefix="0" xfId="0">
      <alignment vertical="center"/>
    </xf>
    <xf numFmtId="165" fontId="39" fillId="5" borderId="1" applyAlignment="1" pivotButton="0" quotePrefix="0" xfId="0">
      <alignment horizontal="right" vertical="center" wrapText="1"/>
    </xf>
    <xf numFmtId="0" fontId="39" fillId="5" borderId="1" applyAlignment="1" pivotButton="0" quotePrefix="0" xfId="50">
      <alignment horizontal="center" vertical="center" wrapText="1"/>
    </xf>
    <xf numFmtId="164" fontId="39" fillId="5" borderId="1" applyAlignment="1" pivotButton="0" quotePrefix="0" xfId="50">
      <alignment horizontal="right" vertical="center" wrapText="1"/>
    </xf>
    <xf numFmtId="0" fontId="38" fillId="5" borderId="1" applyAlignment="1" pivotButton="0" quotePrefix="0" xfId="49">
      <alignment horizontal="center" vertical="center"/>
    </xf>
    <xf numFmtId="0" fontId="39" fillId="7" borderId="1" applyAlignment="1" pivotButton="0" quotePrefix="0" xfId="0">
      <alignment horizontal="left" vertical="center" wrapText="1"/>
    </xf>
    <xf numFmtId="165" fontId="39" fillId="7" borderId="1" applyAlignment="1" pivotButton="0" quotePrefix="0" xfId="0">
      <alignment horizontal="right" vertical="center" wrapText="1"/>
    </xf>
    <xf numFmtId="0" fontId="39" fillId="7" borderId="1" applyAlignment="1" pivotButton="0" quotePrefix="0" xfId="0">
      <alignment horizontal="center" vertical="center" wrapText="1"/>
    </xf>
    <xf numFmtId="164" fontId="39" fillId="8" borderId="1" applyAlignment="1" pivotButton="0" quotePrefix="0" xfId="50">
      <alignment horizontal="right" vertical="center" wrapText="1"/>
    </xf>
    <xf numFmtId="0" fontId="38" fillId="8" borderId="1" applyAlignment="1" pivotButton="0" quotePrefix="0" xfId="49">
      <alignment horizontal="center" vertical="center"/>
    </xf>
    <xf numFmtId="49" fontId="40" fillId="0" borderId="1" applyAlignment="1" pivotButton="0" quotePrefix="0" xfId="0">
      <alignment horizontal="left" vertical="center"/>
    </xf>
    <xf numFmtId="0" fontId="41" fillId="0" borderId="1" applyAlignment="1" pivotButton="0" quotePrefix="0" xfId="0">
      <alignment horizontal="left" vertical="center" wrapText="1"/>
    </xf>
    <xf numFmtId="165" fontId="41" fillId="0" borderId="1" applyAlignment="1" pivotButton="0" quotePrefix="0" xfId="0">
      <alignment horizontal="right" vertical="center" wrapText="1"/>
    </xf>
    <xf numFmtId="0" fontId="41" fillId="0" borderId="1" applyAlignment="1" pivotButton="0" quotePrefix="0" xfId="50">
      <alignment horizontal="center" vertical="center" wrapText="1"/>
    </xf>
    <xf numFmtId="164" fontId="41" fillId="0" borderId="1" applyAlignment="1" pivotButton="0" quotePrefix="0" xfId="50">
      <alignment horizontal="right" vertical="center" wrapText="1"/>
    </xf>
    <xf numFmtId="0" fontId="35" fillId="0" borderId="1" applyAlignment="1" pivotButton="0" quotePrefix="0" xfId="49">
      <alignment horizontal="center" vertical="center"/>
    </xf>
    <xf numFmtId="0" fontId="42" fillId="8" borderId="1" applyAlignment="1" pivotButton="0" quotePrefix="0" xfId="0">
      <alignment horizontal="left" vertical="center"/>
    </xf>
    <xf numFmtId="0" fontId="39" fillId="8" borderId="1" applyAlignment="1" pivotButton="0" quotePrefix="0" xfId="0">
      <alignment horizontal="left" vertical="center" wrapText="1"/>
    </xf>
    <xf numFmtId="0" fontId="39" fillId="7" borderId="1" applyAlignment="1" pivotButton="0" quotePrefix="0" xfId="0">
      <alignment horizontal="right" vertical="center" wrapText="1"/>
    </xf>
    <xf numFmtId="0" fontId="39" fillId="8" borderId="1" applyAlignment="1" pivotButton="0" quotePrefix="0" xfId="50">
      <alignment horizontal="center" vertical="center" wrapText="1"/>
    </xf>
    <xf numFmtId="0" fontId="40" fillId="0" borderId="1" applyAlignment="1" pivotButton="0" quotePrefix="0" xfId="0">
      <alignment horizontal="left" vertical="center"/>
    </xf>
    <xf numFmtId="165" fontId="39" fillId="0" borderId="1" applyAlignment="1" pivotButton="0" quotePrefix="0" xfId="0">
      <alignment horizontal="right" vertical="center" wrapText="1"/>
    </xf>
    <xf numFmtId="165" fontId="41" fillId="8" borderId="1" applyAlignment="1" pivotButton="0" quotePrefix="0" xfId="0">
      <alignment horizontal="right" vertical="center" wrapText="1"/>
    </xf>
    <xf numFmtId="0" fontId="35" fillId="0" borderId="14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0" fillId="0" borderId="15" applyAlignment="1" pivotButton="0" quotePrefix="0" xfId="49">
      <alignment horizontal="left" vertical="center"/>
    </xf>
    <xf numFmtId="0" fontId="20" fillId="0" borderId="15" applyAlignment="1" pivotButton="0" quotePrefix="0" xfId="49">
      <alignment horizontal="center" vertical="center"/>
    </xf>
    <xf numFmtId="0" fontId="21" fillId="0" borderId="5" applyAlignment="1" pivotButton="0" quotePrefix="0" xfId="50">
      <alignment horizontal="center" vertical="center" wrapText="1"/>
    </xf>
    <xf numFmtId="0" fontId="21" fillId="0" borderId="16" applyAlignment="1" pivotButton="0" quotePrefix="0" xfId="50">
      <alignment horizontal="center" vertical="center" wrapText="1"/>
    </xf>
    <xf numFmtId="0" fontId="26" fillId="6" borderId="1" applyAlignment="1" pivotButton="0" quotePrefix="0" xfId="0">
      <alignment horizontal="left" vertical="center"/>
    </xf>
    <xf numFmtId="0" fontId="21" fillId="6" borderId="1" applyAlignment="1" pivotButton="0" quotePrefix="0" xfId="0">
      <alignment vertical="center"/>
    </xf>
    <xf numFmtId="164" fontId="43" fillId="6" borderId="1" applyAlignment="1" pivotButton="0" quotePrefix="0" xfId="50">
      <alignment horizontal="right" vertical="center" wrapText="1"/>
    </xf>
    <xf numFmtId="0" fontId="24" fillId="6" borderId="1" applyAlignment="1" pivotButton="0" quotePrefix="0" xfId="50">
      <alignment horizontal="center" vertical="center" wrapText="1"/>
    </xf>
    <xf numFmtId="0" fontId="26" fillId="7" borderId="1" applyAlignment="1" pivotButton="0" quotePrefix="0" xfId="0">
      <alignment horizontal="left" vertical="center"/>
    </xf>
    <xf numFmtId="165" fontId="21" fillId="7" borderId="1" applyAlignment="1" pivotButton="0" quotePrefix="0" xfId="0">
      <alignment horizontal="left" vertical="center" wrapText="1"/>
    </xf>
    <xf numFmtId="164" fontId="43" fillId="7" borderId="1" applyAlignment="1" pivotButton="0" quotePrefix="0" xfId="50">
      <alignment horizontal="right" vertical="center" wrapText="1"/>
    </xf>
    <xf numFmtId="165" fontId="25" fillId="7" borderId="1" applyAlignment="1" pivotButton="0" quotePrefix="0" xfId="49">
      <alignment horizontal="center" vertical="center"/>
    </xf>
    <xf numFmtId="0" fontId="24" fillId="7" borderId="1" applyAlignment="1" pivotButton="0" quotePrefix="0" xfId="50">
      <alignment horizontal="center" vertical="center" wrapText="1"/>
    </xf>
    <xf numFmtId="0" fontId="27" fillId="0" borderId="1" applyAlignment="1" pivotButton="0" quotePrefix="0" xfId="0">
      <alignment horizontal="left" vertical="center"/>
    </xf>
    <xf numFmtId="0" fontId="17" fillId="0" borderId="1" applyAlignment="1" pivotButton="0" quotePrefix="0" xfId="49">
      <alignment horizontal="left" vertical="center" wrapText="1"/>
    </xf>
    <xf numFmtId="165" fontId="28" fillId="0" borderId="1" applyAlignment="1" pivotButton="0" quotePrefix="0" xfId="0">
      <alignment horizontal="right" vertical="center" wrapText="1"/>
    </xf>
    <xf numFmtId="165" fontId="20" fillId="0" borderId="1" applyAlignment="1" pivotButton="0" quotePrefix="0" xfId="49">
      <alignment horizontal="center" vertical="center"/>
    </xf>
    <xf numFmtId="0" fontId="29" fillId="0" borderId="1" applyAlignment="1" pivotButton="0" quotePrefix="0" xfId="50">
      <alignment horizontal="center" vertical="center" wrapText="1"/>
    </xf>
    <xf numFmtId="164" fontId="29" fillId="0" borderId="1" applyAlignment="1" pivotButton="0" quotePrefix="0" xfId="50">
      <alignment horizontal="right" vertical="center" wrapText="1"/>
    </xf>
    <xf numFmtId="0" fontId="20" fillId="0" borderId="1" applyAlignment="1" pivotButton="0" quotePrefix="0" xfId="49">
      <alignment horizontal="center" vertical="center"/>
    </xf>
    <xf numFmtId="0" fontId="28" fillId="0" borderId="5" applyAlignment="1" pivotButton="0" quotePrefix="0" xfId="50">
      <alignment horizontal="center" vertical="center" wrapText="1"/>
    </xf>
    <xf numFmtId="164" fontId="32" fillId="0" borderId="16" applyAlignment="1" pivotButton="0" quotePrefix="0" xfId="50">
      <alignment horizontal="right" vertical="center" wrapText="1"/>
    </xf>
    <xf numFmtId="0" fontId="27" fillId="0" borderId="0" applyAlignment="1" pivotButton="0" quotePrefix="0" xfId="0">
      <alignment horizontal="left" vertical="center"/>
    </xf>
    <xf numFmtId="164" fontId="29" fillId="0" borderId="16" applyAlignment="1" pivotButton="0" quotePrefix="0" xfId="50">
      <alignment horizontal="right" vertical="center" wrapText="1"/>
    </xf>
    <xf numFmtId="0" fontId="44" fillId="0" borderId="0" applyAlignment="1" pivotButton="0" quotePrefix="0" xfId="0">
      <alignment vertical="center"/>
    </xf>
    <xf numFmtId="0" fontId="45" fillId="4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4" fillId="0" borderId="0" applyAlignment="1" pivotButton="0" quotePrefix="0" xfId="0">
      <alignment horizontal="left" vertical="center"/>
    </xf>
    <xf numFmtId="165" fontId="44" fillId="0" borderId="0" applyAlignment="1" pivotButton="0" quotePrefix="0" xfId="0">
      <alignment vertical="center"/>
    </xf>
    <xf numFmtId="164" fontId="4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37" fillId="0" borderId="0" applyAlignment="1" pivotButton="0" quotePrefix="0" xfId="49">
      <alignment horizontal="center" vertical="center" wrapText="1"/>
    </xf>
    <xf numFmtId="0" fontId="46" fillId="0" borderId="15" applyAlignment="1" pivotButton="0" quotePrefix="0" xfId="49">
      <alignment horizontal="left" vertical="center"/>
    </xf>
    <xf numFmtId="165" fontId="46" fillId="0" borderId="15" applyAlignment="1" pivotButton="0" quotePrefix="0" xfId="49">
      <alignment horizontal="left" vertical="center"/>
    </xf>
    <xf numFmtId="164" fontId="46" fillId="0" borderId="15" applyAlignment="1" pivotButton="0" quotePrefix="0" xfId="49">
      <alignment horizontal="center" vertical="center"/>
    </xf>
    <xf numFmtId="0" fontId="47" fillId="0" borderId="1" applyAlignment="1" pivotButton="0" quotePrefix="0" xfId="49">
      <alignment horizontal="center" vertical="center" wrapText="1"/>
    </xf>
    <xf numFmtId="0" fontId="47" fillId="0" borderId="2" applyAlignment="1" pivotButton="0" quotePrefix="0" xfId="49">
      <alignment horizontal="center" vertical="center" wrapText="1"/>
    </xf>
    <xf numFmtId="165" fontId="47" fillId="0" borderId="2" applyAlignment="1" pivotButton="0" quotePrefix="0" xfId="49">
      <alignment horizontal="center" vertical="center" wrapText="1"/>
    </xf>
    <xf numFmtId="0" fontId="43" fillId="0" borderId="1" applyAlignment="1" pivotButton="0" quotePrefix="0" xfId="50">
      <alignment horizontal="center" vertical="center" wrapText="1"/>
    </xf>
    <xf numFmtId="165" fontId="43" fillId="0" borderId="1" applyAlignment="1" pivotButton="0" quotePrefix="0" xfId="50">
      <alignment horizontal="center" vertical="center" wrapText="1"/>
    </xf>
    <xf numFmtId="164" fontId="43" fillId="0" borderId="1" applyAlignment="1" pivotButton="0" quotePrefix="0" xfId="50">
      <alignment horizontal="center" vertical="center" wrapText="1"/>
    </xf>
    <xf numFmtId="0" fontId="47" fillId="0" borderId="3" applyAlignment="1" pivotButton="0" quotePrefix="0" xfId="49">
      <alignment horizontal="center" vertical="center" wrapText="1"/>
    </xf>
    <xf numFmtId="165" fontId="47" fillId="0" borderId="3" applyAlignment="1" pivotButton="0" quotePrefix="0" xfId="49">
      <alignment horizontal="center" vertical="center" wrapText="1"/>
    </xf>
    <xf numFmtId="164" fontId="38" fillId="0" borderId="1" applyAlignment="1" pivotButton="0" quotePrefix="0" xfId="49">
      <alignment horizontal="center" vertical="center" wrapText="1"/>
    </xf>
    <xf numFmtId="165" fontId="47" fillId="0" borderId="1" applyAlignment="1" pivotButton="0" quotePrefix="0" xfId="49">
      <alignment horizontal="center" vertical="center" wrapText="1"/>
    </xf>
    <xf numFmtId="0" fontId="48" fillId="6" borderId="1" applyAlignment="1" pivotButton="0" quotePrefix="0" xfId="0">
      <alignment horizontal="left" vertical="center"/>
    </xf>
    <xf numFmtId="0" fontId="43" fillId="6" borderId="1" applyAlignment="1" pivotButton="0" quotePrefix="0" xfId="0">
      <alignment vertical="center"/>
    </xf>
    <xf numFmtId="165" fontId="43" fillId="6" borderId="1" applyAlignment="1" pivotButton="0" quotePrefix="0" xfId="0">
      <alignment vertical="center" wrapText="1"/>
    </xf>
    <xf numFmtId="0" fontId="43" fillId="6" borderId="1" applyAlignment="1" pivotButton="0" quotePrefix="0" xfId="50">
      <alignment horizontal="center" vertical="center" wrapText="1"/>
    </xf>
    <xf numFmtId="165" fontId="47" fillId="6" borderId="1" applyAlignment="1" pivotButton="0" quotePrefix="0" xfId="49">
      <alignment horizontal="center" vertical="center"/>
    </xf>
    <xf numFmtId="0" fontId="48" fillId="7" borderId="1" applyAlignment="1" pivotButton="0" quotePrefix="0" xfId="0">
      <alignment horizontal="left" vertical="center"/>
    </xf>
    <xf numFmtId="0" fontId="43" fillId="7" borderId="1" applyAlignment="1" pivotButton="0" quotePrefix="0" xfId="0">
      <alignment vertical="center"/>
    </xf>
    <xf numFmtId="165" fontId="43" fillId="7" borderId="1" applyAlignment="1" pivotButton="0" quotePrefix="0" xfId="0">
      <alignment vertical="center" wrapText="1"/>
    </xf>
    <xf numFmtId="0" fontId="43" fillId="7" borderId="1" applyAlignment="1" pivotButton="0" quotePrefix="0" xfId="50">
      <alignment horizontal="center" vertical="center" wrapText="1"/>
    </xf>
    <xf numFmtId="165" fontId="47" fillId="7" borderId="1" applyAlignment="1" pivotButton="0" quotePrefix="0" xfId="49">
      <alignment horizontal="center" vertical="center"/>
    </xf>
    <xf numFmtId="0" fontId="44" fillId="4" borderId="0" applyAlignment="1" pivotButton="0" quotePrefix="0" xfId="0">
      <alignment vertical="center"/>
    </xf>
    <xf numFmtId="0" fontId="49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vertical="center"/>
    </xf>
    <xf numFmtId="165" fontId="32" fillId="0" borderId="1" applyAlignment="1" pivotButton="0" quotePrefix="0" xfId="0">
      <alignment horizontal="right" vertical="center" wrapText="1"/>
    </xf>
    <xf numFmtId="0" fontId="32" fillId="0" borderId="1" applyAlignment="1" pivotButton="0" quotePrefix="0" xfId="50">
      <alignment horizontal="center" vertical="center" wrapText="1"/>
    </xf>
    <xf numFmtId="165" fontId="46" fillId="0" borderId="1" applyAlignment="1" pivotButton="0" quotePrefix="0" xfId="49">
      <alignment horizontal="center" vertical="center"/>
    </xf>
    <xf numFmtId="165" fontId="32" fillId="0" borderId="1" applyAlignment="1" pivotButton="0" quotePrefix="0" xfId="0">
      <alignment horizontal="left" vertical="center" wrapText="1"/>
    </xf>
    <xf numFmtId="0" fontId="32" fillId="0" borderId="1" applyAlignment="1" pivotButton="0" quotePrefix="0" xfId="0">
      <alignment vertical="center" wrapText="1"/>
    </xf>
    <xf numFmtId="0" fontId="43" fillId="4" borderId="1" applyAlignment="1" pivotButton="0" quotePrefix="0" xfId="0">
      <alignment vertical="center"/>
    </xf>
    <xf numFmtId="165" fontId="43" fillId="7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vertical="center"/>
    </xf>
    <xf numFmtId="0" fontId="43" fillId="5" borderId="1" applyAlignment="1" pivotButton="0" quotePrefix="0" xfId="0">
      <alignment horizontal="center" vertical="center"/>
    </xf>
    <xf numFmtId="0" fontId="43" fillId="5" borderId="1" applyAlignment="1" pivotButton="0" quotePrefix="0" xfId="0">
      <alignment vertical="center"/>
    </xf>
    <xf numFmtId="165" fontId="43" fillId="5" borderId="1" applyAlignment="1" pivotButton="0" quotePrefix="0" xfId="0">
      <alignment vertical="center"/>
    </xf>
    <xf numFmtId="169" fontId="43" fillId="5" borderId="1" applyAlignment="1" pivotButton="0" quotePrefix="0" xfId="3">
      <alignment horizontal="center" vertical="center"/>
    </xf>
    <xf numFmtId="0" fontId="43" fillId="5" borderId="1" applyAlignment="1" pivotButton="0" quotePrefix="0" xfId="50">
      <alignment horizontal="center" vertical="center" wrapText="1"/>
    </xf>
    <xf numFmtId="164" fontId="43" fillId="5" borderId="1" applyAlignment="1" pivotButton="0" quotePrefix="0" xfId="50">
      <alignment horizontal="right" vertical="center" wrapText="1"/>
    </xf>
    <xf numFmtId="0" fontId="47" fillId="5" borderId="1" applyAlignment="1" pivotButton="0" quotePrefix="0" xfId="49">
      <alignment horizontal="center" vertical="center"/>
    </xf>
    <xf numFmtId="0" fontId="48" fillId="7" borderId="1" applyAlignment="1" pivotButton="0" quotePrefix="0" xfId="0">
      <alignment horizontal="center" vertical="center"/>
    </xf>
    <xf numFmtId="165" fontId="43" fillId="7" borderId="1" applyAlignment="1" pivotButton="0" quotePrefix="0" xfId="0">
      <alignment vertical="center"/>
    </xf>
    <xf numFmtId="169" fontId="43" fillId="7" borderId="1" applyAlignment="1" pivotButton="0" quotePrefix="0" xfId="3">
      <alignment horizontal="center" vertical="center"/>
    </xf>
    <xf numFmtId="0" fontId="47" fillId="7" borderId="1" applyAlignment="1" pivotButton="0" quotePrefix="0" xfId="49">
      <alignment horizontal="center" vertical="center"/>
    </xf>
    <xf numFmtId="0" fontId="49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vertical="center"/>
    </xf>
    <xf numFmtId="165" fontId="32" fillId="4" borderId="1" applyAlignment="1" pivotButton="0" quotePrefix="0" xfId="0">
      <alignment vertical="center"/>
    </xf>
    <xf numFmtId="169" fontId="43" fillId="4" borderId="1" applyAlignment="1" pivotButton="0" quotePrefix="0" xfId="3">
      <alignment horizontal="center" vertical="center"/>
    </xf>
    <xf numFmtId="0" fontId="32" fillId="4" borderId="1" applyAlignment="1" pivotButton="0" quotePrefix="0" xfId="50">
      <alignment horizontal="center" vertical="center" wrapText="1"/>
    </xf>
    <xf numFmtId="164" fontId="32" fillId="4" borderId="1" applyAlignment="1" pivotButton="0" quotePrefix="0" xfId="50">
      <alignment horizontal="right" vertical="center" wrapText="1"/>
    </xf>
    <xf numFmtId="0" fontId="46" fillId="4" borderId="1" applyAlignment="1" pivotButton="0" quotePrefix="0" xfId="49">
      <alignment horizontal="center" vertical="center"/>
    </xf>
    <xf numFmtId="165" fontId="32" fillId="4" borderId="1" applyAlignment="1" pivotButton="0" quotePrefix="0" xfId="0">
      <alignment horizontal="right" vertical="center" wrapText="1"/>
    </xf>
    <xf numFmtId="2" fontId="32" fillId="4" borderId="1" applyAlignment="1" pivotButton="0" quotePrefix="0" xfId="0">
      <alignment vertical="center"/>
    </xf>
    <xf numFmtId="165" fontId="32" fillId="4" borderId="1" applyAlignment="1" pivotButton="0" quotePrefix="0" xfId="0">
      <alignment horizontal="left" vertical="center" wrapText="1"/>
    </xf>
    <xf numFmtId="0" fontId="43" fillId="5" borderId="1" applyAlignment="1" pivotButton="0" quotePrefix="0" xfId="0">
      <alignment vertical="center" wrapText="1"/>
    </xf>
    <xf numFmtId="165" fontId="47" fillId="5" borderId="1" applyAlignment="1" pivotButton="0" quotePrefix="0" xfId="0">
      <alignment vertical="center"/>
    </xf>
    <xf numFmtId="0" fontId="47" fillId="5" borderId="1" applyAlignment="1" pivotButton="0" quotePrefix="0" xfId="0">
      <alignment horizontal="center" vertical="center"/>
    </xf>
    <xf numFmtId="0" fontId="47" fillId="5" borderId="1" applyAlignment="1" pivotButton="0" quotePrefix="0" xfId="0">
      <alignment vertical="center"/>
    </xf>
    <xf numFmtId="169" fontId="47" fillId="5" borderId="1" applyAlignment="1" pivotButton="0" quotePrefix="0" xfId="3">
      <alignment horizontal="center" vertical="center"/>
    </xf>
    <xf numFmtId="9" fontId="47" fillId="5" borderId="1" applyAlignment="1" pivotButton="0" quotePrefix="0" xfId="3">
      <alignment horizontal="center" vertical="center"/>
    </xf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0" fontId="53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 vertical="center"/>
    </xf>
    <xf numFmtId="0" fontId="54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43" fillId="9" borderId="1" applyAlignment="1" pivotButton="0" quotePrefix="0" xfId="0">
      <alignment horizontal="left" vertical="center"/>
    </xf>
    <xf numFmtId="0" fontId="55" fillId="9" borderId="1" applyAlignment="1" pivotButton="0" quotePrefix="0" xfId="0">
      <alignment horizontal="left" vertical="center"/>
    </xf>
    <xf numFmtId="0" fontId="55" fillId="9" borderId="1" applyAlignment="1" pivotButton="0" quotePrefix="0" xfId="0">
      <alignment horizontal="center" vertical="center"/>
    </xf>
    <xf numFmtId="2" fontId="43" fillId="9" borderId="1" applyAlignment="1" pivotButton="0" quotePrefix="0" xfId="0">
      <alignment horizontal="right" vertical="center"/>
    </xf>
    <xf numFmtId="0" fontId="54" fillId="9" borderId="1" applyAlignment="1" pivotButton="0" quotePrefix="0" xfId="0">
      <alignment horizontal="center" vertical="center"/>
    </xf>
    <xf numFmtId="165" fontId="54" fillId="9" borderId="1" applyAlignment="1" pivotButton="0" quotePrefix="0" xfId="0">
      <alignment horizontal="center" vertical="center"/>
    </xf>
    <xf numFmtId="0" fontId="55" fillId="9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left" vertical="center"/>
    </xf>
    <xf numFmtId="0" fontId="54" fillId="0" borderId="1" applyAlignment="1" pivotButton="0" quotePrefix="0" xfId="0">
      <alignment horizontal="left" vertical="center"/>
    </xf>
    <xf numFmtId="2" fontId="32" fillId="0" borderId="1" applyAlignment="1" pivotButton="0" quotePrefix="0" xfId="0">
      <alignment horizontal="right" vertical="center"/>
    </xf>
    <xf numFmtId="0" fontId="54" fillId="0" borderId="1" applyAlignment="1" pivotButton="0" quotePrefix="0" xfId="0">
      <alignment horizontal="center" vertical="center" wrapText="1"/>
    </xf>
    <xf numFmtId="9" fontId="54" fillId="9" borderId="1" applyAlignment="1" pivotButton="0" quotePrefix="0" xfId="3">
      <alignment horizontal="center" vertical="center" wrapText="1"/>
    </xf>
    <xf numFmtId="9" fontId="32" fillId="0" borderId="1" applyAlignment="1" pivotButton="0" quotePrefix="0" xfId="3">
      <alignment horizontal="center" vertical="center" wrapText="1"/>
    </xf>
    <xf numFmtId="9" fontId="54" fillId="0" borderId="1" applyAlignment="1" pivotButton="0" quotePrefix="0" xfId="3">
      <alignment horizontal="center" vertical="center" wrapText="1"/>
    </xf>
    <xf numFmtId="9" fontId="55" fillId="9" borderId="1" applyAlignment="1" pivotButton="0" quotePrefix="0" xfId="3">
      <alignment horizontal="center" vertical="center" wrapText="1"/>
    </xf>
    <xf numFmtId="9" fontId="55" fillId="0" borderId="1" applyAlignment="1" pivotButton="0" quotePrefix="0" xfId="3">
      <alignment horizontal="center" vertical="center" wrapText="1"/>
    </xf>
    <xf numFmtId="164" fontId="32" fillId="8" borderId="1" applyAlignment="1" pivotButton="0" quotePrefix="0" xfId="0">
      <alignment horizontal="right" vertical="center"/>
    </xf>
    <xf numFmtId="0" fontId="43" fillId="9" borderId="1" applyAlignment="1" pivotButton="0" quotePrefix="0" xfId="0">
      <alignment horizontal="center" vertical="center" wrapText="1"/>
    </xf>
    <xf numFmtId="164" fontId="32" fillId="0" borderId="1" applyAlignment="1" pivotButton="0" quotePrefix="0" xfId="0">
      <alignment horizontal="right" vertical="center"/>
    </xf>
    <xf numFmtId="165" fontId="54" fillId="9" borderId="1" applyAlignment="1" pivotButton="0" quotePrefix="0" xfId="0">
      <alignment horizontal="center" vertical="center"/>
    </xf>
    <xf numFmtId="164" fontId="32" fillId="8" borderId="1" applyAlignment="1" pivotButton="0" quotePrefix="0" xfId="0">
      <alignment horizontal="right" vertical="center"/>
    </xf>
    <xf numFmtId="164" fontId="32" fillId="0" borderId="1" applyAlignment="1" pivotButton="0" quotePrefix="0" xfId="0">
      <alignment horizontal="right" vertical="center"/>
    </xf>
    <xf numFmtId="166" fontId="16" fillId="0" borderId="0" pivotButton="0" quotePrefix="0" xfId="0"/>
    <xf numFmtId="0" fontId="0" fillId="0" borderId="15" pivotButton="0" quotePrefix="0" xfId="0"/>
    <xf numFmtId="0" fontId="0" fillId="0" borderId="27" pivotButton="0" quotePrefix="0" xfId="0"/>
    <xf numFmtId="0" fontId="0" fillId="0" borderId="16" pivotButton="0" quotePrefix="0" xfId="0"/>
    <xf numFmtId="0" fontId="0" fillId="0" borderId="3" pivotButton="0" quotePrefix="0" xfId="0"/>
    <xf numFmtId="165" fontId="43" fillId="5" borderId="1" applyAlignment="1" pivotButton="0" quotePrefix="0" xfId="0">
      <alignment vertical="center"/>
    </xf>
    <xf numFmtId="169" fontId="43" fillId="5" borderId="1" applyAlignment="1" pivotButton="0" quotePrefix="0" xfId="3">
      <alignment horizontal="center" vertical="center"/>
    </xf>
    <xf numFmtId="164" fontId="43" fillId="5" borderId="1" applyAlignment="1" pivotButton="0" quotePrefix="0" xfId="50">
      <alignment horizontal="right" vertical="center" wrapText="1"/>
    </xf>
    <xf numFmtId="165" fontId="43" fillId="7" borderId="1" applyAlignment="1" pivotButton="0" quotePrefix="0" xfId="0">
      <alignment vertical="center"/>
    </xf>
    <xf numFmtId="169" fontId="43" fillId="7" borderId="1" applyAlignment="1" pivotButton="0" quotePrefix="0" xfId="3">
      <alignment horizontal="center" vertical="center"/>
    </xf>
    <xf numFmtId="164" fontId="43" fillId="7" borderId="1" applyAlignment="1" pivotButton="0" quotePrefix="0" xfId="50">
      <alignment horizontal="right" vertical="center" wrapText="1"/>
    </xf>
    <xf numFmtId="165" fontId="32" fillId="4" borderId="1" applyAlignment="1" pivotButton="0" quotePrefix="0" xfId="0">
      <alignment vertical="center"/>
    </xf>
    <xf numFmtId="169" fontId="43" fillId="4" borderId="1" applyAlignment="1" pivotButton="0" quotePrefix="0" xfId="3">
      <alignment horizontal="center" vertical="center"/>
    </xf>
    <xf numFmtId="164" fontId="32" fillId="4" borderId="1" applyAlignment="1" pivotButton="0" quotePrefix="0" xfId="50">
      <alignment horizontal="right" vertical="center" wrapText="1"/>
    </xf>
    <xf numFmtId="164" fontId="32" fillId="0" borderId="1" applyAlignment="1" pivotButton="0" quotePrefix="0" xfId="50">
      <alignment horizontal="right" vertical="center" wrapText="1"/>
    </xf>
    <xf numFmtId="165" fontId="32" fillId="4" borderId="1" applyAlignment="1" pivotButton="0" quotePrefix="0" xfId="0">
      <alignment horizontal="right" vertical="center" wrapText="1"/>
    </xf>
    <xf numFmtId="165" fontId="43" fillId="7" borderId="1" applyAlignment="1" pivotButton="0" quotePrefix="0" xfId="0">
      <alignment horizontal="left" vertical="center" wrapText="1"/>
    </xf>
    <xf numFmtId="165" fontId="32" fillId="4" borderId="1" applyAlignment="1" pivotButton="0" quotePrefix="0" xfId="0">
      <alignment horizontal="left" vertical="center" wrapText="1"/>
    </xf>
    <xf numFmtId="165" fontId="47" fillId="5" borderId="1" applyAlignment="1" pivotButton="0" quotePrefix="0" xfId="0">
      <alignment vertical="center"/>
    </xf>
    <xf numFmtId="169" fontId="47" fillId="5" borderId="1" applyAlignment="1" pivotButton="0" quotePrefix="0" xfId="3">
      <alignment horizontal="center" vertical="center"/>
    </xf>
    <xf numFmtId="0" fontId="0" fillId="0" borderId="0" pivotButton="0" quotePrefix="0" xfId="0"/>
    <xf numFmtId="165" fontId="44" fillId="0" borderId="0" applyAlignment="1" pivotButton="0" quotePrefix="0" xfId="0">
      <alignment vertical="center"/>
    </xf>
    <xf numFmtId="164" fontId="44" fillId="0" borderId="0" applyAlignment="1" pivotButton="0" quotePrefix="0" xfId="0">
      <alignment horizontal="center" vertical="center"/>
    </xf>
    <xf numFmtId="165" fontId="47" fillId="0" borderId="1" applyAlignment="1" pivotButton="0" quotePrefix="0" xfId="49">
      <alignment horizontal="center" vertical="center" wrapText="1"/>
    </xf>
    <xf numFmtId="165" fontId="43" fillId="0" borderId="1" applyAlignment="1" pivotButton="0" quotePrefix="0" xfId="50">
      <alignment horizontal="center" vertical="center" wrapText="1"/>
    </xf>
    <xf numFmtId="164" fontId="38" fillId="0" borderId="1" applyAlignment="1" pivotButton="0" quotePrefix="0" xfId="49">
      <alignment horizontal="center" vertical="center" wrapText="1"/>
    </xf>
    <xf numFmtId="165" fontId="43" fillId="6" borderId="1" applyAlignment="1" pivotButton="0" quotePrefix="0" xfId="0">
      <alignment vertical="center" wrapText="1"/>
    </xf>
    <xf numFmtId="164" fontId="43" fillId="6" borderId="1" applyAlignment="1" pivotButton="0" quotePrefix="0" xfId="50">
      <alignment horizontal="right" vertical="center" wrapText="1"/>
    </xf>
    <xf numFmtId="165" fontId="47" fillId="6" borderId="1" applyAlignment="1" pivotButton="0" quotePrefix="0" xfId="49">
      <alignment horizontal="center" vertical="center"/>
    </xf>
    <xf numFmtId="165" fontId="43" fillId="7" borderId="1" applyAlignment="1" pivotButton="0" quotePrefix="0" xfId="0">
      <alignment vertical="center" wrapText="1"/>
    </xf>
    <xf numFmtId="165" fontId="47" fillId="7" borderId="1" applyAlignment="1" pivotButton="0" quotePrefix="0" xfId="49">
      <alignment horizontal="center" vertical="center"/>
    </xf>
    <xf numFmtId="165" fontId="32" fillId="0" borderId="1" applyAlignment="1" pivotButton="0" quotePrefix="0" xfId="0">
      <alignment horizontal="right" vertical="center" wrapText="1"/>
    </xf>
    <xf numFmtId="165" fontId="46" fillId="0" borderId="1" applyAlignment="1" pivotButton="0" quotePrefix="0" xfId="49">
      <alignment horizontal="center" vertical="center"/>
    </xf>
    <xf numFmtId="165" fontId="32" fillId="0" borderId="1" applyAlignment="1" pivotButton="0" quotePrefix="0" xfId="0">
      <alignment horizontal="left" vertical="center" wrapText="1"/>
    </xf>
    <xf numFmtId="165" fontId="21" fillId="6" borderId="1" applyAlignment="1" pivotButton="0" quotePrefix="0" xfId="0">
      <alignment horizontal="right" vertical="center" wrapText="1"/>
    </xf>
    <xf numFmtId="165" fontId="21" fillId="7" borderId="1" applyAlignment="1" pivotButton="0" quotePrefix="0" xfId="0">
      <alignment horizontal="left" vertical="center" wrapText="1"/>
    </xf>
    <xf numFmtId="165" fontId="21" fillId="7" borderId="1" applyAlignment="1" pivotButton="0" quotePrefix="0" xfId="0">
      <alignment horizontal="right" vertical="center" wrapText="1"/>
    </xf>
    <xf numFmtId="165" fontId="25" fillId="7" borderId="1" applyAlignment="1" pivotButton="0" quotePrefix="0" xfId="49">
      <alignment horizontal="center" vertical="center"/>
    </xf>
    <xf numFmtId="165" fontId="28" fillId="0" borderId="1" applyAlignment="1" pivotButton="0" quotePrefix="0" xfId="0">
      <alignment horizontal="right" vertical="center" wrapText="1"/>
    </xf>
    <xf numFmtId="165" fontId="20" fillId="0" borderId="1" applyAlignment="1" pivotButton="0" quotePrefix="0" xfId="49">
      <alignment horizontal="center" vertical="center"/>
    </xf>
    <xf numFmtId="164" fontId="29" fillId="0" borderId="1" applyAlignment="1" pivotButton="0" quotePrefix="0" xfId="50">
      <alignment horizontal="right" vertical="center" wrapText="1"/>
    </xf>
    <xf numFmtId="164" fontId="32" fillId="0" borderId="16" applyAlignment="1" pivotButton="0" quotePrefix="0" xfId="50">
      <alignment horizontal="right" vertical="center" wrapText="1"/>
    </xf>
    <xf numFmtId="164" fontId="29" fillId="0" borderId="16" applyAlignment="1" pivotButton="0" quotePrefix="0" xfId="50">
      <alignment horizontal="right" vertical="center" wrapText="1"/>
    </xf>
    <xf numFmtId="165" fontId="35" fillId="0" borderId="0" applyAlignment="1" pivotButton="0" quotePrefix="0" xfId="0">
      <alignment vertical="center"/>
    </xf>
    <xf numFmtId="166" fontId="36" fillId="0" borderId="0" pivotButton="0" quotePrefix="0" xfId="0"/>
    <xf numFmtId="165" fontId="38" fillId="0" borderId="1" applyAlignment="1" pivotButton="0" quotePrefix="0" xfId="49">
      <alignment horizontal="center" vertical="center" wrapText="1"/>
    </xf>
    <xf numFmtId="165" fontId="39" fillId="5" borderId="1" applyAlignment="1" pivotButton="0" quotePrefix="0" xfId="0">
      <alignment horizontal="right" vertical="center" wrapText="1"/>
    </xf>
    <xf numFmtId="164" fontId="39" fillId="5" borderId="1" applyAlignment="1" pivotButton="0" quotePrefix="0" xfId="50">
      <alignment horizontal="right" vertical="center" wrapText="1"/>
    </xf>
    <xf numFmtId="165" fontId="39" fillId="7" borderId="1" applyAlignment="1" pivotButton="0" quotePrefix="0" xfId="0">
      <alignment horizontal="right" vertical="center" wrapText="1"/>
    </xf>
    <xf numFmtId="164" fontId="39" fillId="8" borderId="1" applyAlignment="1" pivotButton="0" quotePrefix="0" xfId="50">
      <alignment horizontal="right" vertical="center" wrapText="1"/>
    </xf>
    <xf numFmtId="165" fontId="41" fillId="0" borderId="1" applyAlignment="1" pivotButton="0" quotePrefix="0" xfId="0">
      <alignment horizontal="right" vertical="center" wrapText="1"/>
    </xf>
    <xf numFmtId="164" fontId="41" fillId="0" borderId="1" applyAlignment="1" pivotButton="0" quotePrefix="0" xfId="50">
      <alignment horizontal="right" vertical="center" wrapText="1"/>
    </xf>
    <xf numFmtId="165" fontId="39" fillId="0" borderId="1" applyAlignment="1" pivotButton="0" quotePrefix="0" xfId="0">
      <alignment horizontal="right" vertical="center" wrapText="1"/>
    </xf>
    <xf numFmtId="165" fontId="41" fillId="8" borderId="1" applyAlignment="1" pivotButton="0" quotePrefix="0" xfId="0">
      <alignment horizontal="right" vertical="center" wrapText="1"/>
    </xf>
    <xf numFmtId="165" fontId="21" fillId="6" borderId="1" applyAlignment="1" pivotButton="0" quotePrefix="0" xfId="0">
      <alignment horizontal="left" vertical="center" wrapText="1"/>
    </xf>
    <xf numFmtId="164" fontId="21" fillId="6" borderId="1" applyAlignment="1" pivotButton="0" quotePrefix="0" xfId="50">
      <alignment horizontal="right" vertical="center" wrapText="1"/>
    </xf>
    <xf numFmtId="167" fontId="26" fillId="7" borderId="1" applyAlignment="1" pivotButton="0" quotePrefix="0" xfId="0">
      <alignment horizontal="left" vertical="center"/>
    </xf>
    <xf numFmtId="164" fontId="21" fillId="7" borderId="1" applyAlignment="1" pivotButton="0" quotePrefix="0" xfId="50">
      <alignment horizontal="right" vertical="center" wrapText="1"/>
    </xf>
    <xf numFmtId="165" fontId="27" fillId="0" borderId="1" applyAlignment="1" pivotButton="0" quotePrefix="0" xfId="0">
      <alignment horizontal="left" vertical="center"/>
    </xf>
    <xf numFmtId="164" fontId="28" fillId="0" borderId="1" applyAlignment="1" pivotButton="0" quotePrefix="0" xfId="50">
      <alignment horizontal="right" vertical="center" wrapText="1"/>
    </xf>
    <xf numFmtId="164" fontId="33" fillId="0" borderId="1" applyAlignment="1" pivotButton="0" quotePrefix="0" xfId="50">
      <alignment horizontal="right" vertical="center" wrapText="1"/>
    </xf>
    <xf numFmtId="164" fontId="28" fillId="4" borderId="1" applyAlignment="1" pivotButton="0" quotePrefix="0" xfId="50">
      <alignment horizontal="right" vertical="center" wrapText="1"/>
    </xf>
    <xf numFmtId="168" fontId="21" fillId="7" borderId="1" applyAlignment="1" pivotButton="0" quotePrefix="0" xfId="0">
      <alignment horizontal="center" vertical="center" wrapText="1"/>
    </xf>
    <xf numFmtId="165" fontId="21" fillId="5" borderId="1" applyAlignment="1" pivotButton="0" quotePrefix="0" xfId="0">
      <alignment vertical="center"/>
    </xf>
    <xf numFmtId="164" fontId="24" fillId="5" borderId="1" applyAlignment="1" pivotButton="0" quotePrefix="0" xfId="50">
      <alignment horizontal="right" vertical="center" wrapText="1"/>
    </xf>
    <xf numFmtId="165" fontId="21" fillId="0" borderId="1" applyAlignment="1" pivotButton="0" quotePrefix="0" xfId="0">
      <alignment vertical="center"/>
    </xf>
    <xf numFmtId="164" fontId="24" fillId="0" borderId="1" applyAlignment="1" pivotButton="0" quotePrefix="0" xfId="50">
      <alignment horizontal="right" vertical="center" wrapText="1"/>
    </xf>
    <xf numFmtId="164" fontId="21" fillId="0" borderId="1" applyAlignment="1" pivotButton="0" quotePrefix="0" xfId="50">
      <alignment horizontal="right" vertical="center" wrapText="1"/>
    </xf>
    <xf numFmtId="165" fontId="28" fillId="0" borderId="1" applyAlignment="1" pivotButton="0" quotePrefix="0" xfId="0">
      <alignment vertical="center"/>
    </xf>
    <xf numFmtId="166" fontId="17" fillId="0" borderId="1" applyAlignment="1" pivotButton="0" quotePrefix="0" xfId="0">
      <alignment horizontal="left" vertical="center" wrapText="1"/>
    </xf>
    <xf numFmtId="165" fontId="21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left" vertical="center"/>
    </xf>
    <xf numFmtId="165" fontId="27" fillId="0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4" fontId="5" fillId="0" borderId="0" applyAlignment="1" pivotButton="0" quotePrefix="0" xfId="49">
      <alignment horizontal="center" vertical="center" wrapText="1"/>
    </xf>
    <xf numFmtId="165" fontId="4" fillId="0" borderId="0" applyAlignment="1" pivotButton="0" quotePrefix="0" xfId="49">
      <alignment horizontal="center" vertical="center" wrapText="1"/>
    </xf>
    <xf numFmtId="164" fontId="7" fillId="0" borderId="1" applyAlignment="1" pivotButton="0" quotePrefix="0" xfId="50">
      <alignment horizontal="center" vertical="center" wrapText="1"/>
    </xf>
    <xf numFmtId="164" fontId="8" fillId="0" borderId="1" applyAlignment="1" pivotButton="0" quotePrefix="0" xfId="49">
      <alignment horizontal="center" vertical="center" wrapText="1"/>
    </xf>
    <xf numFmtId="165" fontId="6" fillId="0" borderId="1" applyAlignment="1" pivotButton="0" quotePrefix="0" xfId="49">
      <alignment horizontal="center" vertical="center" wrapText="1"/>
    </xf>
    <xf numFmtId="164" fontId="6" fillId="3" borderId="3" applyAlignment="1" pivotButton="0" quotePrefix="0" xfId="49">
      <alignment horizontal="right" vertical="center" wrapText="1"/>
    </xf>
    <xf numFmtId="165" fontId="4" fillId="3" borderId="3" applyAlignment="1" pivotButton="0" quotePrefix="0" xfId="49">
      <alignment horizontal="center" vertical="center"/>
    </xf>
    <xf numFmtId="164" fontId="7" fillId="0" borderId="1" applyAlignment="1" pivotButton="0" quotePrefix="0" xfId="50">
      <alignment horizontal="right" vertical="center" wrapText="1"/>
    </xf>
    <xf numFmtId="165" fontId="4" fillId="0" borderId="1" applyAlignment="1" pivotButton="0" quotePrefix="0" xfId="49">
      <alignment horizontal="center" vertical="center"/>
    </xf>
    <xf numFmtId="164" fontId="6" fillId="0" borderId="1" applyAlignment="1" pivotButton="0" quotePrefix="0" xfId="49">
      <alignment horizontal="right" vertical="center" wrapText="1"/>
    </xf>
    <xf numFmtId="164" fontId="12" fillId="0" borderId="1" applyAlignment="1" pivotButton="0" quotePrefix="0" xfId="50">
      <alignment horizontal="right" vertical="center" wrapText="1"/>
    </xf>
    <xf numFmtId="164" fontId="12" fillId="3" borderId="1" applyAlignment="1" pivotButton="0" quotePrefix="0" xfId="50">
      <alignment horizontal="right" vertical="center" wrapText="1"/>
    </xf>
    <xf numFmtId="165" fontId="4" fillId="3" borderId="1" applyAlignment="1" pivotButton="0" quotePrefix="0" xfId="49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7" fillId="3" borderId="1" applyAlignment="1" pivotButton="0" quotePrefix="0" xfId="50">
      <alignment horizontal="center" vertical="center" wrapText="1"/>
    </xf>
    <xf numFmtId="165" fontId="1" fillId="0" borderId="1" applyAlignment="1" pivotButton="0" quotePrefix="0" xfId="0">
      <alignment vertical="center"/>
    </xf>
    <xf numFmtId="165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vertical="center"/>
    </xf>
    <xf numFmtId="165" fontId="12" fillId="0" borderId="1" applyAlignment="1" pivotButton="0" quotePrefix="0" xfId="0">
      <alignment horizontal="left" vertical="center"/>
    </xf>
    <xf numFmtId="165" fontId="4" fillId="0" borderId="1" applyAlignment="1" pivotButton="0" quotePrefix="0" xfId="49">
      <alignment horizontal="center" vertical="center" wrapText="1"/>
    </xf>
    <xf numFmtId="164" fontId="1" fillId="3" borderId="1" applyAlignment="1" pivotButton="0" quotePrefix="0" xfId="0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zoomScale="115" zoomScaleNormal="115" workbookViewId="0">
      <selection activeCell="G8" sqref="G8"/>
    </sheetView>
  </sheetViews>
  <sheetFormatPr baseColWidth="8" defaultColWidth="9" defaultRowHeight="14.25"/>
  <cols>
    <col width="6.50833333333333" customWidth="1" style="339" min="1" max="1"/>
    <col width="29.5083333333333" customWidth="1" style="340" min="2" max="2"/>
    <col width="9" customWidth="1" style="339" min="3" max="3"/>
    <col width="14.25" customWidth="1" style="339" min="4" max="4"/>
    <col width="11" customWidth="1" style="339" min="5" max="5"/>
    <col width="12.625" customWidth="1" style="339" min="6" max="6"/>
    <col width="9" customWidth="1" style="339" min="7" max="16384"/>
  </cols>
  <sheetData>
    <row r="1" ht="33" customFormat="1" customHeight="1" s="339">
      <c r="A1" s="341" t="inlineStr">
        <is>
          <t>主要经济技术指标</t>
        </is>
      </c>
    </row>
    <row r="2" ht="24.95" customFormat="1" customHeight="1" s="339">
      <c r="A2" s="342" t="inlineStr">
        <is>
          <t>项目名称：{{PROJECT_NAME}}</t>
        </is>
      </c>
    </row>
    <row r="3" ht="24.95" customFormat="1" customHeight="1" s="339">
      <c r="A3" s="344" t="inlineStr">
        <is>
          <t>序号</t>
        </is>
      </c>
      <c r="B3" s="345" t="inlineStr">
        <is>
          <t>指标名称</t>
        </is>
      </c>
      <c r="C3" s="344" t="inlineStr">
        <is>
          <t>单位</t>
        </is>
      </c>
      <c r="D3" s="344" t="inlineStr">
        <is>
          <t>数值</t>
        </is>
      </c>
      <c r="E3" s="344" t="inlineStr">
        <is>
          <t>备注</t>
        </is>
      </c>
    </row>
    <row r="4" ht="24.95" customFormat="1" customHeight="1" s="339">
      <c r="A4" s="346" t="n">
        <v>1</v>
      </c>
      <c r="B4" s="347" t="inlineStr">
        <is>
          <t>用地面积</t>
        </is>
      </c>
      <c r="C4" s="348" t="inlineStr">
        <is>
          <t>㎡</t>
        </is>
      </c>
      <c r="D4" s="349" t="n"/>
      <c r="E4" s="350" t="n"/>
    </row>
    <row r="5" ht="24.95" customFormat="1" customHeight="1" s="339">
      <c r="A5" s="346" t="n">
        <v>2</v>
      </c>
      <c r="B5" s="347" t="inlineStr">
        <is>
          <t>总建筑面积</t>
        </is>
      </c>
      <c r="C5" s="348" t="inlineStr">
        <is>
          <t>㎡</t>
        </is>
      </c>
      <c r="D5" s="349">
        <f>D6+D9</f>
        <v/>
      </c>
      <c r="E5" s="365" t="n"/>
    </row>
    <row r="6" ht="24.95" customFormat="1" customHeight="1" s="339">
      <c r="A6" s="346" t="n">
        <v>3</v>
      </c>
      <c r="B6" s="347" t="inlineStr">
        <is>
          <t>地下总建筑面积</t>
        </is>
      </c>
      <c r="C6" s="348" t="inlineStr">
        <is>
          <t>㎡</t>
        </is>
      </c>
      <c r="D6" s="349">
        <f>SUM(D7:D8)</f>
        <v/>
      </c>
      <c r="E6" s="352" t="n"/>
    </row>
    <row r="7" ht="24.95" customFormat="1" customHeight="1" s="339">
      <c r="A7" s="353" t="n">
        <v>3.1</v>
      </c>
      <c r="B7" s="354" t="inlineStr">
        <is>
          <t>A区地下室</t>
        </is>
      </c>
      <c r="C7" s="344" t="inlineStr">
        <is>
          <t>㎡</t>
        </is>
      </c>
      <c r="D7" s="355" t="n"/>
      <c r="E7" s="356" t="n"/>
    </row>
    <row r="8" ht="24.95" customFormat="1" customHeight="1" s="339">
      <c r="A8" s="353" t="n">
        <v>3.1</v>
      </c>
      <c r="B8" s="354" t="inlineStr">
        <is>
          <t>B区地下室</t>
        </is>
      </c>
      <c r="C8" s="344" t="inlineStr">
        <is>
          <t>㎡</t>
        </is>
      </c>
      <c r="D8" s="355" t="n"/>
      <c r="E8" s="356" t="n"/>
    </row>
    <row r="9" ht="24.95" customFormat="1" customHeight="1" s="339">
      <c r="A9" s="346" t="n">
        <v>4</v>
      </c>
      <c r="B9" s="347" t="inlineStr">
        <is>
          <t>地上总建筑面积</t>
        </is>
      </c>
      <c r="C9" s="348" t="inlineStr">
        <is>
          <t>㎡</t>
        </is>
      </c>
      <c r="D9" s="349">
        <f>SUM(D10:D13)</f>
        <v/>
      </c>
      <c r="E9" s="357" t="n"/>
    </row>
    <row r="10" ht="24.95" customFormat="1" customHeight="1" s="339">
      <c r="A10" s="353" t="n">
        <v>4.1</v>
      </c>
      <c r="B10" s="354" t="inlineStr">
        <is>
          <t>1#楼</t>
        </is>
      </c>
      <c r="C10" s="344" t="inlineStr">
        <is>
          <t>㎡</t>
        </is>
      </c>
      <c r="D10" s="355" t="n"/>
      <c r="E10" s="358" t="n"/>
    </row>
    <row r="11" ht="24.95" customFormat="1" customHeight="1" s="339">
      <c r="A11" s="353" t="n">
        <v>4.2</v>
      </c>
      <c r="B11" s="354" t="inlineStr">
        <is>
          <t>2#楼</t>
        </is>
      </c>
      <c r="C11" s="344" t="inlineStr">
        <is>
          <t>㎡</t>
        </is>
      </c>
      <c r="D11" s="355" t="n"/>
      <c r="E11" s="359" t="n"/>
    </row>
    <row r="12" ht="24.95" customFormat="1" customHeight="1" s="339">
      <c r="A12" s="353" t="n">
        <v>4.3</v>
      </c>
      <c r="B12" s="354" t="inlineStr">
        <is>
          <t>3#楼</t>
        </is>
      </c>
      <c r="C12" s="344" t="inlineStr">
        <is>
          <t>㎡</t>
        </is>
      </c>
      <c r="D12" s="355" t="n"/>
      <c r="E12" s="359" t="n"/>
    </row>
    <row r="13" ht="24.95" customFormat="1" customHeight="1" s="339">
      <c r="A13" s="353" t="n">
        <v>4.4</v>
      </c>
      <c r="B13" s="354" t="inlineStr">
        <is>
          <t>构筑物</t>
        </is>
      </c>
      <c r="C13" s="344" t="inlineStr">
        <is>
          <t>㎡</t>
        </is>
      </c>
      <c r="D13" s="355" t="n"/>
      <c r="E13" s="358" t="n"/>
    </row>
    <row r="14" ht="24.95" customFormat="1" customHeight="1" s="339">
      <c r="A14" s="346" t="n">
        <v>5</v>
      </c>
      <c r="B14" s="347" t="inlineStr">
        <is>
          <t>占地面积</t>
        </is>
      </c>
      <c r="C14" s="348" t="inlineStr">
        <is>
          <t>㎡</t>
        </is>
      </c>
      <c r="D14" s="349">
        <f>SUM(D15:D16)</f>
        <v/>
      </c>
      <c r="E14" s="360" t="n"/>
    </row>
    <row r="15" ht="24.95" customFormat="1" customHeight="1" s="339">
      <c r="A15" s="353" t="n">
        <v>5.1</v>
      </c>
      <c r="B15" s="354" t="inlineStr">
        <is>
          <t>A区地块</t>
        </is>
      </c>
      <c r="C15" s="344" t="inlineStr">
        <is>
          <t>㎡</t>
        </is>
      </c>
      <c r="D15" s="355" t="n"/>
      <c r="E15" s="361" t="n"/>
    </row>
    <row r="16" ht="24.95" customFormat="1" customHeight="1" s="339">
      <c r="A16" s="353" t="n">
        <v>5.2</v>
      </c>
      <c r="B16" s="354" t="inlineStr">
        <is>
          <t>B区地块</t>
        </is>
      </c>
      <c r="C16" s="344" t="inlineStr">
        <is>
          <t>㎡</t>
        </is>
      </c>
      <c r="D16" s="355" t="n"/>
      <c r="E16" s="361" t="n"/>
    </row>
    <row r="17" ht="24.95" customFormat="1" customHeight="1" s="339">
      <c r="A17" s="346" t="n">
        <v>6</v>
      </c>
      <c r="B17" s="347" t="inlineStr">
        <is>
          <t>室外面积</t>
        </is>
      </c>
      <c r="C17" s="348" t="inlineStr">
        <is>
          <t>㎡</t>
        </is>
      </c>
      <c r="D17" s="349">
        <f>D4-D14</f>
        <v/>
      </c>
      <c r="E17" s="360" t="n"/>
    </row>
    <row r="18" ht="24.95" customFormat="1" customHeight="1" s="339">
      <c r="A18" s="346" t="n">
        <v>7</v>
      </c>
      <c r="B18" s="347" t="inlineStr">
        <is>
          <t>机动车位停车</t>
        </is>
      </c>
      <c r="C18" s="348" t="inlineStr">
        <is>
          <t>辆</t>
        </is>
      </c>
      <c r="D18" s="366">
        <f>SUM(D19:D20)</f>
        <v/>
      </c>
      <c r="E18" s="363" t="n"/>
    </row>
    <row r="19" ht="24.95" customFormat="1" customHeight="1" s="339">
      <c r="A19" s="353" t="n">
        <v>7.1</v>
      </c>
      <c r="B19" s="354" t="inlineStr">
        <is>
          <t>地面机动车停车</t>
        </is>
      </c>
      <c r="C19" s="344" t="inlineStr">
        <is>
          <t>辆</t>
        </is>
      </c>
      <c r="D19" s="367" t="n"/>
      <c r="E19" s="356" t="n"/>
    </row>
    <row r="20" ht="24.95" customFormat="1" customHeight="1" s="339">
      <c r="A20" s="353" t="n">
        <v>7.2</v>
      </c>
      <c r="B20" s="354" t="inlineStr">
        <is>
          <t>地下机动车停车</t>
        </is>
      </c>
      <c r="C20" s="344" t="inlineStr">
        <is>
          <t>辆</t>
        </is>
      </c>
      <c r="D20" s="367" t="n"/>
      <c r="E20" s="356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50"/>
  <sheetViews>
    <sheetView workbookViewId="0">
      <selection activeCell="B45" sqref="B45"/>
    </sheetView>
  </sheetViews>
  <sheetFormatPr baseColWidth="8" defaultColWidth="9" defaultRowHeight="13.5"/>
  <cols>
    <col width="6" customWidth="1" style="310" min="1" max="1"/>
    <col width="24.3083333333333" customWidth="1" style="268" min="2" max="2"/>
    <col width="10.5416666666667" customWidth="1" style="268" min="3" max="3"/>
    <col width="7.125" customWidth="1" style="310" min="4" max="4"/>
    <col width="6" customWidth="1" style="268" min="5" max="5"/>
    <col width="7.25" customWidth="1" style="268" min="6" max="6"/>
    <col width="9.25" customWidth="1" style="310" min="7" max="7"/>
    <col width="11.75" customWidth="1" style="268" min="8" max="8"/>
    <col width="8.199999999999999" customWidth="1" style="268" min="9" max="9"/>
    <col width="9" customWidth="1" style="268" min="10" max="239"/>
    <col width="9" customWidth="1" style="368" min="240" max="16384"/>
  </cols>
  <sheetData>
    <row r="1" ht="32.1" customFormat="1" customHeight="1" s="268">
      <c r="A1" s="207" t="inlineStr">
        <is>
          <t>工程建设投资概算总表</t>
        </is>
      </c>
    </row>
    <row r="2" ht="26.1" customFormat="1" customHeight="1" s="268">
      <c r="A2" s="276" t="inlineStr">
        <is>
          <t>项目名称：{{PROJECT_NAME}}</t>
        </is>
      </c>
      <c r="B2" s="369" t="n"/>
      <c r="C2" s="369" t="n"/>
      <c r="D2" s="369" t="n"/>
      <c r="E2" s="369" t="n"/>
      <c r="F2" s="369" t="n"/>
      <c r="G2" s="369" t="n"/>
      <c r="H2" s="369" t="n"/>
      <c r="I2" s="369" t="n"/>
    </row>
    <row r="3" ht="20.1" customFormat="1" customHeight="1" s="268">
      <c r="A3" s="279" t="inlineStr">
        <is>
          <t>序号</t>
        </is>
      </c>
      <c r="B3" s="279" t="inlineStr">
        <is>
          <t>工程或费用名称</t>
        </is>
      </c>
      <c r="C3" s="279" t="inlineStr">
        <is>
          <t>费用
（万元）</t>
        </is>
      </c>
      <c r="D3" s="279" t="inlineStr">
        <is>
          <t>占总投资比例
（%）</t>
        </is>
      </c>
      <c r="E3" s="282" t="inlineStr">
        <is>
          <t>技术经济指标</t>
        </is>
      </c>
      <c r="F3" s="370" t="n"/>
      <c r="G3" s="370" t="n"/>
      <c r="H3" s="370" t="n"/>
      <c r="I3" s="371" t="n"/>
    </row>
    <row r="4" ht="33.95" customFormat="1" customHeight="1" s="268">
      <c r="A4" s="372" t="n"/>
      <c r="B4" s="372" t="n"/>
      <c r="C4" s="372" t="n"/>
      <c r="D4" s="372" t="n"/>
      <c r="E4" s="282" t="inlineStr">
        <is>
          <t>单位
（x）</t>
        </is>
      </c>
      <c r="F4" s="282" t="inlineStr">
        <is>
          <t>数量</t>
        </is>
      </c>
      <c r="G4" s="212" t="inlineStr">
        <is>
          <t xml:space="preserve">单方指标
（元/x）           </t>
        </is>
      </c>
      <c r="H4" s="279" t="inlineStr">
        <is>
          <t>计算基数</t>
        </is>
      </c>
      <c r="I4" s="279" t="inlineStr">
        <is>
          <t>指标
说明</t>
        </is>
      </c>
      <c r="J4" s="311" t="n"/>
    </row>
    <row r="5" ht="30" customFormat="1" customHeight="1" s="268">
      <c r="A5" s="312" t="inlineStr">
        <is>
          <t>一</t>
        </is>
      </c>
      <c r="B5" s="313" t="inlineStr">
        <is>
          <t>工程费用</t>
        </is>
      </c>
      <c r="C5" s="373">
        <f>C6+C9+C12+C15+C18+C21+C24+C34</f>
        <v/>
      </c>
      <c r="D5" s="374">
        <f>C5/C50</f>
        <v/>
      </c>
      <c r="E5" s="316" t="inlineStr">
        <is>
          <t>㎡</t>
        </is>
      </c>
      <c r="F5" s="375">
        <f>经济技术指标!$D$5</f>
        <v/>
      </c>
      <c r="G5" s="375">
        <f>C5/F5*10000</f>
        <v/>
      </c>
      <c r="H5" s="318" t="inlineStr">
        <is>
          <t>总建筑面积</t>
        </is>
      </c>
      <c r="I5" s="316" t="inlineStr">
        <is>
          <t>项目工程
指标</t>
        </is>
      </c>
    </row>
    <row r="6" outlineLevel="1" collapsed="1" ht="30" customFormat="1" customHeight="1" s="299">
      <c r="A6" s="319" t="n">
        <v>1</v>
      </c>
      <c r="B6" s="295" t="inlineStr">
        <is>
          <t>A区地下室工程</t>
        </is>
      </c>
      <c r="C6" s="376">
        <f>C7+C8</f>
        <v/>
      </c>
      <c r="D6" s="377">
        <f>C6/C50</f>
        <v/>
      </c>
      <c r="E6" s="297" t="inlineStr">
        <is>
          <t>㎡</t>
        </is>
      </c>
      <c r="F6" s="378">
        <f>经济技术指标!$D$7</f>
        <v/>
      </c>
      <c r="G6" s="378">
        <f>C6/F6*10000</f>
        <v/>
      </c>
      <c r="H6" s="322" t="inlineStr">
        <is>
          <t>单体建筑面积</t>
        </is>
      </c>
      <c r="I6" s="297" t="inlineStr">
        <is>
          <t>单项工程指标</t>
        </is>
      </c>
    </row>
    <row r="7" hidden="1" outlineLevel="2" ht="30" customFormat="1" customHeight="1" s="299">
      <c r="A7" s="323" t="n">
        <v>1.1</v>
      </c>
      <c r="B7" s="324" t="inlineStr">
        <is>
          <t>建筑工程费</t>
        </is>
      </c>
      <c r="C7" s="379">
        <f>'1.建筑工程费'!C6</f>
        <v/>
      </c>
      <c r="D7" s="380" t="n"/>
      <c r="E7" s="327" t="inlineStr">
        <is>
          <t>㎡</t>
        </is>
      </c>
      <c r="F7" s="381">
        <f>经济技术指标!$D$7</f>
        <v/>
      </c>
      <c r="G7" s="382">
        <f>C7/F7*10000</f>
        <v/>
      </c>
      <c r="H7" s="329" t="inlineStr">
        <is>
          <t>单体建筑面积</t>
        </is>
      </c>
      <c r="I7" s="327" t="inlineStr">
        <is>
          <t>单位工程指标</t>
        </is>
      </c>
    </row>
    <row r="8" hidden="1" outlineLevel="2" ht="30" customFormat="1" customHeight="1" s="299">
      <c r="A8" s="323" t="n">
        <v>1.2</v>
      </c>
      <c r="B8" s="324" t="inlineStr">
        <is>
          <t>安装工程费</t>
        </is>
      </c>
      <c r="C8" s="379">
        <f>'2.安装工程费'!C6</f>
        <v/>
      </c>
      <c r="D8" s="380" t="n"/>
      <c r="E8" s="327" t="inlineStr">
        <is>
          <t>㎡</t>
        </is>
      </c>
      <c r="F8" s="381">
        <f>经济技术指标!$D$7</f>
        <v/>
      </c>
      <c r="G8" s="382">
        <f>C8/F8*10000</f>
        <v/>
      </c>
      <c r="H8" s="329" t="inlineStr">
        <is>
          <t>单体建筑面积</t>
        </is>
      </c>
      <c r="I8" s="327" t="inlineStr">
        <is>
          <t>单位工程指标</t>
        </is>
      </c>
    </row>
    <row r="9" outlineLevel="1" collapsed="1" ht="30" customFormat="1" customHeight="1" s="299">
      <c r="A9" s="319" t="n">
        <v>2</v>
      </c>
      <c r="B9" s="295" t="inlineStr">
        <is>
          <t>B区地下室工程</t>
        </is>
      </c>
      <c r="C9" s="376">
        <f>C10+C11</f>
        <v/>
      </c>
      <c r="D9" s="377">
        <f>C9/C50</f>
        <v/>
      </c>
      <c r="E9" s="297" t="inlineStr">
        <is>
          <t>㎡</t>
        </is>
      </c>
      <c r="F9" s="378">
        <f>经济技术指标!$D$8</f>
        <v/>
      </c>
      <c r="G9" s="378">
        <f>C9/F9*10000</f>
        <v/>
      </c>
      <c r="H9" s="322" t="inlineStr">
        <is>
          <t>单体建筑面积</t>
        </is>
      </c>
      <c r="I9" s="297" t="inlineStr">
        <is>
          <t>单项工程指标</t>
        </is>
      </c>
    </row>
    <row r="10" hidden="1" outlineLevel="2" ht="30" customFormat="1" customHeight="1" s="299">
      <c r="A10" s="323" t="n">
        <v>2.1</v>
      </c>
      <c r="B10" s="324" t="inlineStr">
        <is>
          <t>建筑工程费</t>
        </is>
      </c>
      <c r="C10" s="383">
        <f>'1.建筑工程费'!C15</f>
        <v/>
      </c>
      <c r="D10" s="380" t="n"/>
      <c r="E10" s="327" t="inlineStr">
        <is>
          <t>㎡</t>
        </is>
      </c>
      <c r="F10" s="381">
        <f>经济技术指标!$D$8</f>
        <v/>
      </c>
      <c r="G10" s="382">
        <f>C10/F10*10000</f>
        <v/>
      </c>
      <c r="H10" s="329" t="inlineStr">
        <is>
          <t>单体建筑面积</t>
        </is>
      </c>
      <c r="I10" s="327" t="inlineStr">
        <is>
          <t>单位工程指标</t>
        </is>
      </c>
    </row>
    <row r="11" hidden="1" outlineLevel="2" ht="30" customFormat="1" customHeight="1" s="299">
      <c r="A11" s="323" t="n">
        <v>2.2</v>
      </c>
      <c r="B11" s="324" t="inlineStr">
        <is>
          <t>安装工程费</t>
        </is>
      </c>
      <c r="C11" s="331">
        <f>'2.安装工程费'!C14</f>
        <v/>
      </c>
      <c r="D11" s="380" t="n"/>
      <c r="E11" s="327" t="inlineStr">
        <is>
          <t>㎡</t>
        </is>
      </c>
      <c r="F11" s="381">
        <f>经济技术指标!$D$8</f>
        <v/>
      </c>
      <c r="G11" s="382">
        <f>C11/F11*10000</f>
        <v/>
      </c>
      <c r="H11" s="329" t="inlineStr">
        <is>
          <t>单体建筑面积</t>
        </is>
      </c>
      <c r="I11" s="327" t="inlineStr">
        <is>
          <t>单位工程指标</t>
        </is>
      </c>
    </row>
    <row r="12" outlineLevel="1" collapsed="1" ht="30" customFormat="1" customHeight="1" s="299">
      <c r="A12" s="319" t="n">
        <v>3</v>
      </c>
      <c r="B12" s="295" t="inlineStr">
        <is>
          <t>1#楼工程</t>
        </is>
      </c>
      <c r="C12" s="376">
        <f>C13+C14</f>
        <v/>
      </c>
      <c r="D12" s="377">
        <f>C12/C50</f>
        <v/>
      </c>
      <c r="E12" s="297" t="inlineStr">
        <is>
          <t>㎡</t>
        </is>
      </c>
      <c r="F12" s="378">
        <f>经济技术指标!$D$10</f>
        <v/>
      </c>
      <c r="G12" s="378">
        <f>C12/F12*10000</f>
        <v/>
      </c>
      <c r="H12" s="322" t="inlineStr">
        <is>
          <t>单体建筑面积</t>
        </is>
      </c>
      <c r="I12" s="297" t="inlineStr">
        <is>
          <t>单项工程指标</t>
        </is>
      </c>
    </row>
    <row r="13" hidden="1" outlineLevel="2" ht="30" customFormat="1" customHeight="1" s="299">
      <c r="A13" s="323" t="n">
        <v>3.1</v>
      </c>
      <c r="B13" s="324" t="inlineStr">
        <is>
          <t>建筑工程费</t>
        </is>
      </c>
      <c r="C13" s="383">
        <f>'1.建筑工程费'!C24</f>
        <v/>
      </c>
      <c r="D13" s="380" t="n"/>
      <c r="E13" s="327" t="inlineStr">
        <is>
          <t>㎡</t>
        </is>
      </c>
      <c r="F13" s="381">
        <f>经济技术指标!$D$10</f>
        <v/>
      </c>
      <c r="G13" s="382">
        <f>C13/F13*10000</f>
        <v/>
      </c>
      <c r="H13" s="329" t="inlineStr">
        <is>
          <t>单体建筑面积</t>
        </is>
      </c>
      <c r="I13" s="327" t="inlineStr">
        <is>
          <t>单位工程指标</t>
        </is>
      </c>
    </row>
    <row r="14" hidden="1" outlineLevel="2" ht="30" customFormat="1" customHeight="1" s="299">
      <c r="A14" s="323" t="n">
        <v>3.2</v>
      </c>
      <c r="B14" s="324" t="inlineStr">
        <is>
          <t>安装工程费</t>
        </is>
      </c>
      <c r="C14" s="331">
        <f>'2.安装工程费'!C22</f>
        <v/>
      </c>
      <c r="D14" s="380" t="n"/>
      <c r="E14" s="327" t="inlineStr">
        <is>
          <t>㎡</t>
        </is>
      </c>
      <c r="F14" s="381">
        <f>经济技术指标!$D$10</f>
        <v/>
      </c>
      <c r="G14" s="382">
        <f>C14/F14*10000</f>
        <v/>
      </c>
      <c r="H14" s="329" t="inlineStr">
        <is>
          <t>单体建筑面积</t>
        </is>
      </c>
      <c r="I14" s="327" t="inlineStr">
        <is>
          <t>单位工程指标</t>
        </is>
      </c>
    </row>
    <row r="15" outlineLevel="1" collapsed="1" ht="30" customFormat="1" customHeight="1" s="299">
      <c r="A15" s="319" t="n">
        <v>4</v>
      </c>
      <c r="B15" s="295" t="inlineStr">
        <is>
          <t>2#楼工程</t>
        </is>
      </c>
      <c r="C15" s="376">
        <f>C16+C17</f>
        <v/>
      </c>
      <c r="D15" s="377">
        <f>C15/C50</f>
        <v/>
      </c>
      <c r="E15" s="297" t="inlineStr">
        <is>
          <t>㎡</t>
        </is>
      </c>
      <c r="F15" s="378">
        <f>经济技术指标!$D$11</f>
        <v/>
      </c>
      <c r="G15" s="378">
        <f>C15/F15*10000</f>
        <v/>
      </c>
      <c r="H15" s="322" t="inlineStr">
        <is>
          <t>单体建筑面积</t>
        </is>
      </c>
      <c r="I15" s="297" t="inlineStr">
        <is>
          <t>单项工程指标</t>
        </is>
      </c>
    </row>
    <row r="16" hidden="1" outlineLevel="2" ht="30" customFormat="1" customHeight="1" s="299">
      <c r="A16" s="323" t="n">
        <v>4.1</v>
      </c>
      <c r="B16" s="324" t="inlineStr">
        <is>
          <t>建筑工程费</t>
        </is>
      </c>
      <c r="C16" s="383">
        <f>'1.建筑工程费'!C30</f>
        <v/>
      </c>
      <c r="D16" s="380" t="n"/>
      <c r="E16" s="327" t="inlineStr">
        <is>
          <t>㎡</t>
        </is>
      </c>
      <c r="F16" s="381">
        <f>经济技术指标!$D$11</f>
        <v/>
      </c>
      <c r="G16" s="382">
        <f>C16/F16*10000</f>
        <v/>
      </c>
      <c r="H16" s="329" t="inlineStr">
        <is>
          <t>单体建筑面积</t>
        </is>
      </c>
      <c r="I16" s="327" t="inlineStr">
        <is>
          <t>单位工程指标</t>
        </is>
      </c>
    </row>
    <row r="17" hidden="1" outlineLevel="2" ht="30" customFormat="1" customHeight="1" s="299">
      <c r="A17" s="323" t="n">
        <v>4.2</v>
      </c>
      <c r="B17" s="324" t="inlineStr">
        <is>
          <t>安装工程费</t>
        </is>
      </c>
      <c r="C17" s="331">
        <f>'2.安装工程费'!C31</f>
        <v/>
      </c>
      <c r="D17" s="380" t="n"/>
      <c r="E17" s="327" t="inlineStr">
        <is>
          <t>㎡</t>
        </is>
      </c>
      <c r="F17" s="381">
        <f>经济技术指标!$D$11</f>
        <v/>
      </c>
      <c r="G17" s="382">
        <f>C17/F17*10000</f>
        <v/>
      </c>
      <c r="H17" s="329" t="inlineStr">
        <is>
          <t>单体建筑面积</t>
        </is>
      </c>
      <c r="I17" s="327" t="inlineStr">
        <is>
          <t>单位工程指标</t>
        </is>
      </c>
    </row>
    <row r="18" outlineLevel="1" collapsed="1" ht="30" customFormat="1" customHeight="1" s="299">
      <c r="A18" s="319" t="n">
        <v>5</v>
      </c>
      <c r="B18" s="295" t="inlineStr">
        <is>
          <t>3#楼工程</t>
        </is>
      </c>
      <c r="C18" s="376">
        <f>C19+C20</f>
        <v/>
      </c>
      <c r="D18" s="377">
        <f>C18/C50</f>
        <v/>
      </c>
      <c r="E18" s="297" t="inlineStr">
        <is>
          <t>㎡</t>
        </is>
      </c>
      <c r="F18" s="378">
        <f>经济技术指标!$D$12</f>
        <v/>
      </c>
      <c r="G18" s="378">
        <f>C18/F18*10000</f>
        <v/>
      </c>
      <c r="H18" s="322" t="inlineStr">
        <is>
          <t>单体建筑面积</t>
        </is>
      </c>
      <c r="I18" s="297" t="inlineStr">
        <is>
          <t>单项工程指标</t>
        </is>
      </c>
    </row>
    <row r="19" hidden="1" outlineLevel="2" ht="30" customFormat="1" customHeight="1" s="299">
      <c r="A19" s="323" t="n">
        <v>5.1</v>
      </c>
      <c r="B19" s="324" t="inlineStr">
        <is>
          <t>建筑工程费</t>
        </is>
      </c>
      <c r="C19" s="383">
        <f>'1.建筑工程费'!C36</f>
        <v/>
      </c>
      <c r="D19" s="380" t="n"/>
      <c r="E19" s="327" t="inlineStr">
        <is>
          <t>㎡</t>
        </is>
      </c>
      <c r="F19" s="381">
        <f>经济技术指标!$D$12</f>
        <v/>
      </c>
      <c r="G19" s="382">
        <f>C19/F19*10000</f>
        <v/>
      </c>
      <c r="H19" s="329" t="inlineStr">
        <is>
          <t>单体建筑面积</t>
        </is>
      </c>
      <c r="I19" s="327" t="inlineStr">
        <is>
          <t>单位工程指标</t>
        </is>
      </c>
    </row>
    <row r="20" hidden="1" outlineLevel="2" ht="30" customFormat="1" customHeight="1" s="299">
      <c r="A20" s="323" t="n">
        <v>5.2</v>
      </c>
      <c r="B20" s="324" t="inlineStr">
        <is>
          <t>安装工程费</t>
        </is>
      </c>
      <c r="C20" s="331">
        <f>'2.安装工程费'!C40</f>
        <v/>
      </c>
      <c r="D20" s="380" t="n"/>
      <c r="E20" s="327" t="inlineStr">
        <is>
          <t>㎡</t>
        </is>
      </c>
      <c r="F20" s="381">
        <f>经济技术指标!$D$12</f>
        <v/>
      </c>
      <c r="G20" s="382">
        <f>C20/F20*10000</f>
        <v/>
      </c>
      <c r="H20" s="329" t="inlineStr">
        <is>
          <t>单体建筑面积</t>
        </is>
      </c>
      <c r="I20" s="327" t="inlineStr">
        <is>
          <t>单位工程指标</t>
        </is>
      </c>
    </row>
    <row r="21" outlineLevel="1" collapsed="1" ht="30" customFormat="1" customHeight="1" s="299">
      <c r="A21" s="319" t="n">
        <v>6</v>
      </c>
      <c r="B21" s="295" t="inlineStr">
        <is>
          <t>构筑物（***）工程</t>
        </is>
      </c>
      <c r="C21" s="376">
        <f>C22+C23</f>
        <v/>
      </c>
      <c r="D21" s="377">
        <f>C21/C50</f>
        <v/>
      </c>
      <c r="E21" s="297" t="inlineStr">
        <is>
          <t>㎡</t>
        </is>
      </c>
      <c r="F21" s="378">
        <f>经济技术指标!$D$13</f>
        <v/>
      </c>
      <c r="G21" s="378">
        <f>C21/F21*10000</f>
        <v/>
      </c>
      <c r="H21" s="322" t="inlineStr">
        <is>
          <t>单体建筑面积</t>
        </is>
      </c>
      <c r="I21" s="297" t="inlineStr">
        <is>
          <t>单项工程指标</t>
        </is>
      </c>
    </row>
    <row r="22" hidden="1" outlineLevel="2" ht="30" customFormat="1" customHeight="1" s="299">
      <c r="A22" s="323" t="n">
        <v>6.1</v>
      </c>
      <c r="B22" s="324" t="inlineStr">
        <is>
          <t>建筑工程费</t>
        </is>
      </c>
      <c r="C22" s="383">
        <f>'1.建筑工程费'!C42</f>
        <v/>
      </c>
      <c r="D22" s="380" t="n"/>
      <c r="E22" s="327" t="inlineStr">
        <is>
          <t>㎡</t>
        </is>
      </c>
      <c r="F22" s="381">
        <f>经济技术指标!$D$13</f>
        <v/>
      </c>
      <c r="G22" s="382">
        <f>C22/F22*10000</f>
        <v/>
      </c>
      <c r="H22" s="329" t="inlineStr">
        <is>
          <t>单体建筑面积</t>
        </is>
      </c>
      <c r="I22" s="327" t="inlineStr">
        <is>
          <t>单位工程指标</t>
        </is>
      </c>
    </row>
    <row r="23" hidden="1" outlineLevel="2" ht="30" customFormat="1" customHeight="1" s="299">
      <c r="A23" s="323" t="n">
        <v>6.2</v>
      </c>
      <c r="B23" s="324" t="inlineStr">
        <is>
          <t>安装工程费</t>
        </is>
      </c>
      <c r="C23" s="331">
        <f>'2.安装工程费'!C49</f>
        <v/>
      </c>
      <c r="D23" s="380" t="n"/>
      <c r="E23" s="327" t="inlineStr">
        <is>
          <t>㎡</t>
        </is>
      </c>
      <c r="F23" s="381">
        <f>经济技术指标!$D$13</f>
        <v/>
      </c>
      <c r="G23" s="382">
        <f>C23/F23*10000</f>
        <v/>
      </c>
      <c r="H23" s="329" t="inlineStr">
        <is>
          <t>单体建筑面积</t>
        </is>
      </c>
      <c r="I23" s="327" t="inlineStr">
        <is>
          <t>单位工程指标</t>
        </is>
      </c>
    </row>
    <row r="24" outlineLevel="1" collapsed="1" ht="30" customFormat="1" customHeight="1" s="299">
      <c r="A24" s="319" t="n">
        <v>7</v>
      </c>
      <c r="B24" s="295" t="inlineStr">
        <is>
          <t>专项工程费</t>
        </is>
      </c>
      <c r="C24" s="376">
        <f>SUM(C25:C33)</f>
        <v/>
      </c>
      <c r="D24" s="377">
        <f>C24/C50</f>
        <v/>
      </c>
      <c r="E24" s="297" t="inlineStr">
        <is>
          <t>㎡</t>
        </is>
      </c>
      <c r="F24" s="378">
        <f>经济技术指标!$D$5</f>
        <v/>
      </c>
      <c r="G24" s="378">
        <f>C24/F24*10000</f>
        <v/>
      </c>
      <c r="H24" s="322" t="inlineStr">
        <is>
          <t>总建筑面积</t>
        </is>
      </c>
      <c r="I24" s="297" t="inlineStr">
        <is>
          <t>单项工程指标</t>
        </is>
      </c>
    </row>
    <row r="25" hidden="1" outlineLevel="2" ht="30" customFormat="1" customHeight="1" s="299">
      <c r="A25" s="323" t="n">
        <v>7.1</v>
      </c>
      <c r="B25" s="324">
        <f>'3.专项工程费'!B6</f>
        <v/>
      </c>
      <c r="C25" s="383">
        <f>'3.专项工程费'!C6</f>
        <v/>
      </c>
      <c r="D25" s="380" t="n"/>
      <c r="E25" s="327" t="inlineStr">
        <is>
          <t>㎡</t>
        </is>
      </c>
      <c r="F25" s="381">
        <f>经济技术指标!$D$5</f>
        <v/>
      </c>
      <c r="G25" s="382">
        <f>C25/F25*10000</f>
        <v/>
      </c>
      <c r="H25" s="329" t="inlineStr">
        <is>
          <t>总建筑面积</t>
        </is>
      </c>
      <c r="I25" s="327" t="inlineStr">
        <is>
          <t>专项工程指标</t>
        </is>
      </c>
    </row>
    <row r="26" hidden="1" outlineLevel="2" ht="30" customFormat="1" customHeight="1" s="299">
      <c r="A26" s="323" t="n">
        <v>7.2</v>
      </c>
      <c r="B26" s="324">
        <f>'3.专项工程费'!B19</f>
        <v/>
      </c>
      <c r="C26" s="383">
        <f>'3.专项工程费'!C19</f>
        <v/>
      </c>
      <c r="D26" s="380" t="n"/>
      <c r="E26" s="327" t="inlineStr">
        <is>
          <t>㎡</t>
        </is>
      </c>
      <c r="F26" s="381">
        <f>'3.专项工程费'!E19</f>
        <v/>
      </c>
      <c r="G26" s="382">
        <f>C26/F26*10000</f>
        <v/>
      </c>
      <c r="H26" s="329" t="inlineStr">
        <is>
          <t>区域建筑面积</t>
        </is>
      </c>
      <c r="I26" s="327" t="inlineStr">
        <is>
          <t>专项工程指标</t>
        </is>
      </c>
    </row>
    <row r="27" hidden="1" outlineLevel="2" ht="30" customFormat="1" customHeight="1" s="299">
      <c r="A27" s="323" t="n">
        <v>7.3</v>
      </c>
      <c r="B27" s="324">
        <f>'3.专项工程费'!B29</f>
        <v/>
      </c>
      <c r="C27" s="331">
        <f>'3.专项工程费'!C29</f>
        <v/>
      </c>
      <c r="D27" s="380" t="n"/>
      <c r="E27" s="327" t="inlineStr">
        <is>
          <t>㎡</t>
        </is>
      </c>
      <c r="F27" s="381">
        <f>'3.专项工程费'!E29</f>
        <v/>
      </c>
      <c r="G27" s="382">
        <f>C27/F27*10000</f>
        <v/>
      </c>
      <c r="H27" s="329" t="inlineStr">
        <is>
          <t>区域建筑面积</t>
        </is>
      </c>
      <c r="I27" s="327" t="inlineStr">
        <is>
          <t>专项工程指标</t>
        </is>
      </c>
    </row>
    <row r="28" hidden="1" outlineLevel="2" ht="30" customFormat="1" customHeight="1" s="299">
      <c r="A28" s="323" t="n">
        <v>7.4</v>
      </c>
      <c r="B28" s="324">
        <f>'3.专项工程费'!B35</f>
        <v/>
      </c>
      <c r="C28" s="331">
        <f>'3.专项工程费'!C35</f>
        <v/>
      </c>
      <c r="D28" s="380" t="n"/>
      <c r="E28" s="327" t="inlineStr">
        <is>
          <t>㎡</t>
        </is>
      </c>
      <c r="F28" s="381">
        <f>'3.专项工程费'!E35</f>
        <v/>
      </c>
      <c r="G28" s="382">
        <f>C28/F28*10000</f>
        <v/>
      </c>
      <c r="H28" s="329" t="inlineStr">
        <is>
          <t>区域建筑面积</t>
        </is>
      </c>
      <c r="I28" s="327" t="inlineStr">
        <is>
          <t>专项工程指标</t>
        </is>
      </c>
    </row>
    <row r="29" hidden="1" outlineLevel="2" ht="30" customFormat="1" customHeight="1" s="299">
      <c r="A29" s="323" t="n">
        <v>7.5</v>
      </c>
      <c r="B29" s="324">
        <f>'3.专项工程费'!B42</f>
        <v/>
      </c>
      <c r="C29" s="331">
        <f>'3.专项工程费'!C42</f>
        <v/>
      </c>
      <c r="D29" s="380" t="n"/>
      <c r="E29" s="327" t="inlineStr">
        <is>
          <t>㎡</t>
        </is>
      </c>
      <c r="F29" s="381">
        <f>'3.专项工程费'!E42</f>
        <v/>
      </c>
      <c r="G29" s="382">
        <f>C29/F29*10000</f>
        <v/>
      </c>
      <c r="H29" s="329" t="inlineStr">
        <is>
          <t>区域建筑面积</t>
        </is>
      </c>
      <c r="I29" s="327" t="inlineStr">
        <is>
          <t>专项工程指标</t>
        </is>
      </c>
    </row>
    <row r="30" hidden="1" outlineLevel="2" ht="30" customFormat="1" customHeight="1" s="299">
      <c r="A30" s="323" t="n">
        <v>7.6</v>
      </c>
      <c r="B30" s="324">
        <f>'3.专项工程费'!B46</f>
        <v/>
      </c>
      <c r="C30" s="331">
        <f>'3.专项工程费'!C46</f>
        <v/>
      </c>
      <c r="D30" s="380" t="n"/>
      <c r="E30" s="327" t="inlineStr">
        <is>
          <t>㎡</t>
        </is>
      </c>
      <c r="F30" s="381">
        <f>'3.专项工程费'!E35</f>
        <v/>
      </c>
      <c r="G30" s="382">
        <f>C30/F30*10000</f>
        <v/>
      </c>
      <c r="H30" s="329" t="inlineStr">
        <is>
          <t>区域建筑面积</t>
        </is>
      </c>
      <c r="I30" s="327" t="inlineStr">
        <is>
          <t>专项工程指标</t>
        </is>
      </c>
    </row>
    <row r="31" hidden="1" outlineLevel="2" ht="30" customFormat="1" customHeight="1" s="299">
      <c r="A31" s="323" t="n">
        <v>7.7</v>
      </c>
      <c r="B31" s="324">
        <f>'3.专项工程费'!B47</f>
        <v/>
      </c>
      <c r="C31" s="331">
        <f>'3.专项工程费'!C47</f>
        <v/>
      </c>
      <c r="D31" s="380" t="n"/>
      <c r="E31" s="327" t="inlineStr">
        <is>
          <t>㎡</t>
        </is>
      </c>
      <c r="F31" s="381">
        <f>'3.专项工程费'!E47</f>
        <v/>
      </c>
      <c r="G31" s="382">
        <f>C31/F31*10000</f>
        <v/>
      </c>
      <c r="H31" s="329" t="inlineStr">
        <is>
          <t>区域建筑面积</t>
        </is>
      </c>
      <c r="I31" s="327" t="inlineStr">
        <is>
          <t>专项工程指标</t>
        </is>
      </c>
    </row>
    <row r="32" hidden="1" outlineLevel="2" ht="30" customFormat="1" customHeight="1" s="299">
      <c r="A32" s="323" t="n">
        <v>7.8</v>
      </c>
      <c r="B32" s="324">
        <f>'3.专项工程费'!B48</f>
        <v/>
      </c>
      <c r="C32" s="331">
        <f>'3.专项工程费'!C48</f>
        <v/>
      </c>
      <c r="D32" s="380" t="n"/>
      <c r="E32" s="327" t="inlineStr">
        <is>
          <t>㎡</t>
        </is>
      </c>
      <c r="F32" s="381">
        <f>'3.专项工程费'!E48</f>
        <v/>
      </c>
      <c r="G32" s="382">
        <f>C32/F32*10000</f>
        <v/>
      </c>
      <c r="H32" s="329" t="inlineStr">
        <is>
          <t>区域建筑面积</t>
        </is>
      </c>
      <c r="I32" s="327" t="inlineStr">
        <is>
          <t>专项工程指标</t>
        </is>
      </c>
    </row>
    <row r="33" hidden="1" outlineLevel="2" ht="30" customFormat="1" customHeight="1" s="299">
      <c r="A33" s="323" t="n">
        <v>7.9</v>
      </c>
      <c r="B33" s="324">
        <f>'3.专项工程费'!B49</f>
        <v/>
      </c>
      <c r="C33" s="331">
        <f>'3.专项工程费'!C49</f>
        <v/>
      </c>
      <c r="D33" s="380" t="n"/>
      <c r="E33" s="327" t="inlineStr">
        <is>
          <t>㎡</t>
        </is>
      </c>
      <c r="F33" s="381">
        <f>'3.专项工程费'!E49</f>
        <v/>
      </c>
      <c r="G33" s="382">
        <f>C33/F33*10000</f>
        <v/>
      </c>
      <c r="H33" s="329" t="inlineStr">
        <is>
          <t>区域建筑面积</t>
        </is>
      </c>
      <c r="I33" s="327" t="inlineStr">
        <is>
          <t>专项工程指标</t>
        </is>
      </c>
    </row>
    <row r="34" outlineLevel="1" collapsed="1" ht="30" customFormat="1" customHeight="1" s="299">
      <c r="A34" s="319" t="n">
        <v>8</v>
      </c>
      <c r="B34" s="384" t="inlineStr">
        <is>
          <t>室外及配套工程费</t>
        </is>
      </c>
      <c r="C34" s="376">
        <f>SUM(C35:C43)</f>
        <v/>
      </c>
      <c r="D34" s="377">
        <f>C34/C50</f>
        <v/>
      </c>
      <c r="E34" s="297" t="inlineStr">
        <is>
          <t>㎡</t>
        </is>
      </c>
      <c r="F34" s="378">
        <f>经济技术指标!$D$5</f>
        <v/>
      </c>
      <c r="G34" s="378">
        <f>C34/F34*10000</f>
        <v/>
      </c>
      <c r="H34" s="322" t="inlineStr">
        <is>
          <t>总建筑面积</t>
        </is>
      </c>
      <c r="I34" s="297" t="inlineStr">
        <is>
          <t>单项工程指标</t>
        </is>
      </c>
    </row>
    <row r="35" hidden="1" outlineLevel="2" ht="30" customFormat="1" customHeight="1" s="299">
      <c r="A35" s="323" t="n">
        <v>8.1</v>
      </c>
      <c r="B35" s="385">
        <f>'4.室外及配套工程费'!B6</f>
        <v/>
      </c>
      <c r="C35" s="383">
        <f>'4.室外及配套工程费'!C6</f>
        <v/>
      </c>
      <c r="D35" s="380" t="n"/>
      <c r="E35" s="327" t="inlineStr">
        <is>
          <t>㎡</t>
        </is>
      </c>
      <c r="F35" s="381">
        <f>经济技术指标!$D$17</f>
        <v/>
      </c>
      <c r="G35" s="382">
        <f>C35/F35*10000</f>
        <v/>
      </c>
      <c r="H35" s="329" t="inlineStr">
        <is>
          <t>室外面积</t>
        </is>
      </c>
      <c r="I35" s="327" t="inlineStr">
        <is>
          <t>单位工程指标</t>
        </is>
      </c>
    </row>
    <row r="36" hidden="1" outlineLevel="2" ht="30" customFormat="1" customHeight="1" s="299">
      <c r="A36" s="323" t="n">
        <v>8.199999999999999</v>
      </c>
      <c r="B36" s="385" t="inlineStr">
        <is>
          <t>室外市政工程</t>
        </is>
      </c>
      <c r="C36" s="383">
        <f>'4.室外及配套工程费'!C10</f>
        <v/>
      </c>
      <c r="D36" s="380" t="n"/>
      <c r="E36" s="327" t="inlineStr">
        <is>
          <t>㎡</t>
        </is>
      </c>
      <c r="F36" s="381">
        <f>经济技术指标!$D$17</f>
        <v/>
      </c>
      <c r="G36" s="382">
        <f>C36/F36*10000</f>
        <v/>
      </c>
      <c r="H36" s="329" t="inlineStr">
        <is>
          <t>室外面积</t>
        </is>
      </c>
      <c r="I36" s="327" t="inlineStr">
        <is>
          <t>单位工程指标</t>
        </is>
      </c>
    </row>
    <row r="37" hidden="1" outlineLevel="2" ht="30" customFormat="1" customHeight="1" s="299">
      <c r="A37" s="323" t="n">
        <v>8.300000000000001</v>
      </c>
      <c r="B37" s="385" t="inlineStr">
        <is>
          <t>室外附属工程</t>
        </is>
      </c>
      <c r="C37" s="383">
        <f>'4.室外及配套工程费'!C15</f>
        <v/>
      </c>
      <c r="D37" s="380" t="n"/>
      <c r="E37" s="327" t="inlineStr">
        <is>
          <t>㎡</t>
        </is>
      </c>
      <c r="F37" s="381">
        <f>经济技术指标!$D$17</f>
        <v/>
      </c>
      <c r="G37" s="382">
        <f>C37/F37*10000</f>
        <v/>
      </c>
      <c r="H37" s="329" t="inlineStr">
        <is>
          <t>室外面积</t>
        </is>
      </c>
      <c r="I37" s="327" t="inlineStr">
        <is>
          <t>单位工程指标</t>
        </is>
      </c>
    </row>
    <row r="38" hidden="1" outlineLevel="2" ht="30" customFormat="1" customHeight="1" s="299">
      <c r="A38" s="323" t="n">
        <v>8.4</v>
      </c>
      <c r="B38" s="385" t="inlineStr">
        <is>
          <t>室外安装工程</t>
        </is>
      </c>
      <c r="C38" s="383">
        <f>'4.室外及配套工程费'!C21</f>
        <v/>
      </c>
      <c r="D38" s="380" t="n"/>
      <c r="E38" s="327" t="inlineStr">
        <is>
          <t>㎡</t>
        </is>
      </c>
      <c r="F38" s="381">
        <f>经济技术指标!$D$17</f>
        <v/>
      </c>
      <c r="G38" s="382">
        <f>C38/F38*10000</f>
        <v/>
      </c>
      <c r="H38" s="329" t="inlineStr">
        <is>
          <t>室外面积</t>
        </is>
      </c>
      <c r="I38" s="327" t="inlineStr">
        <is>
          <t>单位工程指标</t>
        </is>
      </c>
    </row>
    <row r="39" hidden="1" outlineLevel="2" ht="30" customFormat="1" customHeight="1" s="299">
      <c r="A39" s="323" t="n">
        <v>8.5</v>
      </c>
      <c r="B39" s="385" t="inlineStr">
        <is>
          <t>变配电配套工程</t>
        </is>
      </c>
      <c r="C39" s="383">
        <f>'4.室外及配套工程费'!C27</f>
        <v/>
      </c>
      <c r="D39" s="380" t="n"/>
      <c r="E39" s="327" t="inlineStr">
        <is>
          <t>㎡</t>
        </is>
      </c>
      <c r="F39" s="382">
        <f>经济技术指标!$D$5</f>
        <v/>
      </c>
      <c r="G39" s="382">
        <f>C39/F39*10000</f>
        <v/>
      </c>
      <c r="H39" s="329" t="inlineStr">
        <is>
          <t>总建筑面积</t>
        </is>
      </c>
      <c r="I39" s="327" t="inlineStr">
        <is>
          <t>单位工程指标</t>
        </is>
      </c>
    </row>
    <row r="40" hidden="1" outlineLevel="2" ht="30" customFormat="1" customHeight="1" s="299">
      <c r="A40" s="323" t="n">
        <v>8.6</v>
      </c>
      <c r="B40" s="385" t="inlineStr">
        <is>
          <t>供水配套工程</t>
        </is>
      </c>
      <c r="C40" s="383">
        <f>'4.室外及配套工程费'!C28</f>
        <v/>
      </c>
      <c r="D40" s="380" t="n"/>
      <c r="E40" s="327" t="inlineStr">
        <is>
          <t>㎡</t>
        </is>
      </c>
      <c r="F40" s="382">
        <f>经济技术指标!$D$5</f>
        <v/>
      </c>
      <c r="G40" s="382">
        <f>C40/F40*10000</f>
        <v/>
      </c>
      <c r="H40" s="329" t="inlineStr">
        <is>
          <t>总建筑面积</t>
        </is>
      </c>
      <c r="I40" s="327" t="inlineStr">
        <is>
          <t>单位工程指标</t>
        </is>
      </c>
    </row>
    <row r="41" hidden="1" outlineLevel="2" ht="30" customFormat="1" customHeight="1" s="299">
      <c r="A41" s="323" t="n">
        <v>8.699999999999999</v>
      </c>
      <c r="B41" s="385" t="inlineStr">
        <is>
          <t>通讯配套工程</t>
        </is>
      </c>
      <c r="C41" s="383">
        <f>'4.室外及配套工程费'!C29</f>
        <v/>
      </c>
      <c r="D41" s="380" t="n"/>
      <c r="E41" s="327" t="inlineStr">
        <is>
          <t>㎡</t>
        </is>
      </c>
      <c r="F41" s="382">
        <f>经济技术指标!$D$5</f>
        <v/>
      </c>
      <c r="G41" s="382">
        <f>C41/F41*10000</f>
        <v/>
      </c>
      <c r="H41" s="329" t="inlineStr">
        <is>
          <t>总建筑面积</t>
        </is>
      </c>
      <c r="I41" s="327" t="inlineStr">
        <is>
          <t>单位工程指标</t>
        </is>
      </c>
    </row>
    <row r="42" hidden="1" outlineLevel="2" ht="30" customFormat="1" customHeight="1" s="299">
      <c r="A42" s="323" t="n">
        <v>8.800000000000001</v>
      </c>
      <c r="B42" s="385" t="inlineStr">
        <is>
          <t>燃气配套工程</t>
        </is>
      </c>
      <c r="C42" s="383">
        <f>'4.室外及配套工程费'!C30</f>
        <v/>
      </c>
      <c r="D42" s="380" t="n"/>
      <c r="E42" s="327" t="inlineStr">
        <is>
          <t>㎡</t>
        </is>
      </c>
      <c r="F42" s="382">
        <f>经济技术指标!$D$5</f>
        <v/>
      </c>
      <c r="G42" s="382">
        <f>C42/F42*10000</f>
        <v/>
      </c>
      <c r="H42" s="329" t="inlineStr">
        <is>
          <t>总建筑面积</t>
        </is>
      </c>
      <c r="I42" s="327" t="inlineStr">
        <is>
          <t>单位工程指标</t>
        </is>
      </c>
    </row>
    <row r="43" hidden="1" outlineLevel="2" ht="30" customFormat="1" customHeight="1" s="299">
      <c r="A43" s="323" t="n">
        <v>8.9</v>
      </c>
      <c r="B43" s="385" t="inlineStr">
        <is>
          <t>标识标牌配套工程</t>
        </is>
      </c>
      <c r="C43" s="383">
        <f>'4.室外及配套工程费'!C31</f>
        <v/>
      </c>
      <c r="D43" s="380" t="n"/>
      <c r="E43" s="327" t="inlineStr">
        <is>
          <t>㎡</t>
        </is>
      </c>
      <c r="F43" s="382">
        <f>经济技术指标!$D$5</f>
        <v/>
      </c>
      <c r="G43" s="382">
        <f>C43/F43*10000</f>
        <v/>
      </c>
      <c r="H43" s="329" t="inlineStr">
        <is>
          <t>总建筑面积</t>
        </is>
      </c>
      <c r="I43" s="327" t="inlineStr">
        <is>
          <t>单位工程指标</t>
        </is>
      </c>
    </row>
    <row r="44" hidden="1" outlineLevel="2" ht="30" customFormat="1" customHeight="1" s="299">
      <c r="A44" s="323" t="n"/>
      <c r="B44" s="307" t="inlineStr">
        <is>
          <t>……</t>
        </is>
      </c>
      <c r="C44" s="383" t="n"/>
      <c r="D44" s="380" t="n"/>
      <c r="E44" s="327" t="n"/>
      <c r="F44" s="381" t="n"/>
      <c r="G44" s="381" t="n"/>
      <c r="H44" s="329" t="n"/>
      <c r="I44" s="327" t="n"/>
    </row>
    <row r="45" ht="30" customFormat="1" customHeight="1" s="268">
      <c r="A45" s="312" t="inlineStr">
        <is>
          <t>二</t>
        </is>
      </c>
      <c r="B45" s="313" t="inlineStr">
        <is>
          <t>工程建设其他费用</t>
        </is>
      </c>
      <c r="C45" s="373">
        <f>'5.工程建设其他费用'!C5</f>
        <v/>
      </c>
      <c r="D45" s="374">
        <f>C45/C50</f>
        <v/>
      </c>
      <c r="E45" s="316" t="inlineStr">
        <is>
          <t>㎡</t>
        </is>
      </c>
      <c r="F45" s="375">
        <f>经济技术指标!$D$5</f>
        <v/>
      </c>
      <c r="G45" s="375">
        <f>C45/F45*10000</f>
        <v/>
      </c>
      <c r="H45" s="318" t="inlineStr">
        <is>
          <t>总建筑面积</t>
        </is>
      </c>
      <c r="I45" s="316" t="inlineStr">
        <is>
          <t>其他指标</t>
        </is>
      </c>
    </row>
    <row r="46" ht="30" customFormat="1" customHeight="1" s="268">
      <c r="A46" s="312" t="inlineStr">
        <is>
          <t>三</t>
        </is>
      </c>
      <c r="B46" s="333" t="inlineStr">
        <is>
          <t>工程预备费（一+二）*x%</t>
        </is>
      </c>
      <c r="C46" s="386">
        <f>(C5+C45)*0.05</f>
        <v/>
      </c>
      <c r="D46" s="374">
        <f>C46/C50</f>
        <v/>
      </c>
      <c r="E46" s="316" t="inlineStr">
        <is>
          <t>㎡</t>
        </is>
      </c>
      <c r="F46" s="375">
        <f>经济技术指标!$D$5</f>
        <v/>
      </c>
      <c r="G46" s="375">
        <f>C46/F46*10000</f>
        <v/>
      </c>
      <c r="H46" s="318" t="inlineStr">
        <is>
          <t>总建筑面积</t>
        </is>
      </c>
      <c r="I46" s="316" t="inlineStr">
        <is>
          <t>3%~8%</t>
        </is>
      </c>
    </row>
    <row r="47" ht="30" customFormat="1" customHeight="1" s="268">
      <c r="A47" s="335" t="inlineStr">
        <is>
          <t>四</t>
        </is>
      </c>
      <c r="B47" s="336" t="inlineStr">
        <is>
          <t>建设静态总投资（一+二+三）</t>
        </is>
      </c>
      <c r="C47" s="386">
        <f>C5+C45+C46</f>
        <v/>
      </c>
      <c r="D47" s="387">
        <f>C47/C50</f>
        <v/>
      </c>
      <c r="E47" s="316" t="inlineStr">
        <is>
          <t>㎡</t>
        </is>
      </c>
      <c r="F47" s="375">
        <f>经济技术指标!$D$5</f>
        <v/>
      </c>
      <c r="G47" s="375">
        <f>C47/F47*10000</f>
        <v/>
      </c>
      <c r="H47" s="318" t="inlineStr">
        <is>
          <t>总建筑面积</t>
        </is>
      </c>
      <c r="I47" s="316" t="n"/>
    </row>
    <row r="48" ht="30" customFormat="1" customHeight="1" s="268">
      <c r="A48" s="335" t="inlineStr">
        <is>
          <t>五</t>
        </is>
      </c>
      <c r="B48" s="336" t="inlineStr">
        <is>
          <t>建设期融资费用</t>
        </is>
      </c>
      <c r="C48" s="386" t="n"/>
      <c r="D48" s="338" t="n"/>
      <c r="E48" s="316" t="inlineStr">
        <is>
          <t>㎡</t>
        </is>
      </c>
      <c r="F48" s="375">
        <f>经济技术指标!$D$5</f>
        <v/>
      </c>
      <c r="G48" s="375">
        <f>C48/F48*10000</f>
        <v/>
      </c>
      <c r="H48" s="318" t="inlineStr">
        <is>
          <t>总建筑面积</t>
        </is>
      </c>
      <c r="I48" s="316" t="n"/>
    </row>
    <row r="49" ht="30" customFormat="1" customHeight="1" s="268">
      <c r="A49" s="335" t="inlineStr">
        <is>
          <t>六</t>
        </is>
      </c>
      <c r="B49" s="336" t="inlineStr">
        <is>
          <t>铺底流动资金</t>
        </is>
      </c>
      <c r="C49" s="386" t="n"/>
      <c r="D49" s="338" t="n"/>
      <c r="E49" s="316" t="inlineStr">
        <is>
          <t>㎡</t>
        </is>
      </c>
      <c r="F49" s="375">
        <f>经济技术指标!$D$5</f>
        <v/>
      </c>
      <c r="G49" s="375">
        <f>C49/F49*10000</f>
        <v/>
      </c>
      <c r="H49" s="318" t="inlineStr">
        <is>
          <t>总建筑面积</t>
        </is>
      </c>
      <c r="I49" s="316" t="n"/>
    </row>
    <row r="50" ht="30" customFormat="1" customHeight="1" s="268">
      <c r="A50" s="335" t="inlineStr">
        <is>
          <t>七</t>
        </is>
      </c>
      <c r="B50" s="336" t="inlineStr">
        <is>
          <t>建设动态总投资（四+五+六）</t>
        </is>
      </c>
      <c r="C50" s="386">
        <f>C47+C48+C49</f>
        <v/>
      </c>
      <c r="D50" s="338">
        <f>D47+D48+D49</f>
        <v/>
      </c>
      <c r="E50" s="316" t="inlineStr">
        <is>
          <t>㎡</t>
        </is>
      </c>
      <c r="F50" s="375">
        <f>经济技术指标!$D$5</f>
        <v/>
      </c>
      <c r="G50" s="375">
        <f>C50/F50*10000</f>
        <v/>
      </c>
      <c r="H50" s="318" t="inlineStr">
        <is>
          <t>总建筑面积</t>
        </is>
      </c>
      <c r="I50" s="316" t="n"/>
    </row>
    <row r="51" ht="23.1" customHeight="1" s="388"/>
    <row r="52" ht="23.1" customHeight="1" s="388"/>
    <row r="53" ht="20.1" customHeight="1" s="388"/>
  </sheetData>
  <mergeCells count="7">
    <mergeCell ref="E3:I3"/>
    <mergeCell ref="A2:I2"/>
    <mergeCell ref="C3:C4"/>
    <mergeCell ref="A3:A4"/>
    <mergeCell ref="B3:B4"/>
    <mergeCell ref="A1:I1"/>
    <mergeCell ref="D3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A46"/>
  <sheetViews>
    <sheetView zoomScale="145" zoomScaleNormal="145" workbookViewId="0">
      <pane ySplit="4" topLeftCell="A15" activePane="bottomLeft" state="frozen"/>
      <selection activeCell="A1" sqref="A1"/>
      <selection pane="bottomLeft" activeCell="D20" sqref="D20"/>
    </sheetView>
  </sheetViews>
  <sheetFormatPr baseColWidth="8" defaultColWidth="9" defaultRowHeight="13.5"/>
  <cols>
    <col width="5.125" customWidth="1" style="271" min="1" max="1"/>
    <col width="19.875" customWidth="1" style="268" min="2" max="2"/>
    <col width="9" customWidth="1" style="389" min="3" max="3"/>
    <col width="5.375" customWidth="1" style="268" min="4" max="4"/>
    <col width="7.875" customWidth="1" style="389" min="5" max="5"/>
    <col width="7.875" customWidth="1" style="390" min="6" max="6"/>
    <col width="11.75" customWidth="1" style="389" min="7" max="7"/>
    <col width="7.33333333333333" customWidth="1" style="268" min="8" max="8"/>
    <col width="9" customWidth="1" style="268" min="9" max="235"/>
    <col width="9" customWidth="1" style="368" min="236" max="16375"/>
    <col width="9" customWidth="1" style="274" min="16376" max="16384"/>
  </cols>
  <sheetData>
    <row r="1" ht="32.1" customFormat="1" customHeight="1" s="268">
      <c r="A1" s="207" t="inlineStr">
        <is>
          <t>建筑工程费专业分析表</t>
        </is>
      </c>
    </row>
    <row r="2" ht="20" customFormat="1" customHeight="1" s="268">
      <c r="A2" s="276" t="inlineStr">
        <is>
          <t>项目名称：{{PROJECT_NAME}}</t>
        </is>
      </c>
      <c r="B2" s="369" t="n"/>
      <c r="C2" s="369" t="n"/>
      <c r="D2" s="369" t="n"/>
      <c r="E2" s="369" t="n"/>
      <c r="F2" s="369" t="n"/>
      <c r="G2" s="369" t="n"/>
      <c r="H2" s="369" t="n"/>
    </row>
    <row r="3" ht="20.1" customFormat="1" customHeight="1" s="268">
      <c r="A3" s="279" t="inlineStr">
        <is>
          <t>序号</t>
        </is>
      </c>
      <c r="B3" s="279" t="inlineStr">
        <is>
          <t>工程或费用名称</t>
        </is>
      </c>
      <c r="C3" s="391" t="inlineStr">
        <is>
          <t>费用
（万元）</t>
        </is>
      </c>
      <c r="D3" s="282" t="inlineStr">
        <is>
          <t>技术经济指标</t>
        </is>
      </c>
      <c r="E3" s="370" t="n"/>
      <c r="F3" s="370" t="n"/>
      <c r="G3" s="370" t="n"/>
      <c r="H3" s="371" t="n"/>
    </row>
    <row r="4" ht="33.95" customFormat="1" customHeight="1" s="268">
      <c r="A4" s="372" t="n"/>
      <c r="B4" s="372" t="n"/>
      <c r="C4" s="372" t="n"/>
      <c r="D4" s="282" t="inlineStr">
        <is>
          <t>单位
（x）</t>
        </is>
      </c>
      <c r="E4" s="392" t="inlineStr">
        <is>
          <t>数量</t>
        </is>
      </c>
      <c r="F4" s="393" t="inlineStr">
        <is>
          <t xml:space="preserve">单方指标
（元/x）           </t>
        </is>
      </c>
      <c r="G4" s="391" t="inlineStr">
        <is>
          <t>计算基数</t>
        </is>
      </c>
      <c r="H4" s="279" t="inlineStr">
        <is>
          <t>指标
说明</t>
        </is>
      </c>
    </row>
    <row r="5" ht="30" customFormat="1" customHeight="1" s="268">
      <c r="A5" s="289" t="n">
        <v>1</v>
      </c>
      <c r="B5" s="290" t="inlineStr">
        <is>
          <t>建筑工程费</t>
        </is>
      </c>
      <c r="C5" s="394">
        <f>C6+C15+C24+C30+C36+C42</f>
        <v/>
      </c>
      <c r="D5" s="292" t="inlineStr">
        <is>
          <t>㎡</t>
        </is>
      </c>
      <c r="E5" s="395">
        <f>经济技术指标!$D$5</f>
        <v/>
      </c>
      <c r="F5" s="395">
        <f>C5/E5*10000</f>
        <v/>
      </c>
      <c r="G5" s="396" t="inlineStr">
        <is>
          <t>总建筑面积</t>
        </is>
      </c>
      <c r="H5" s="292" t="n"/>
    </row>
    <row r="6" ht="30" customFormat="1" customHeight="1" s="269">
      <c r="A6" s="294" t="n">
        <v>1.1</v>
      </c>
      <c r="B6" s="295" t="inlineStr">
        <is>
          <t>A区地下室工程</t>
        </is>
      </c>
      <c r="C6" s="397">
        <f>SUM(C7:C14)</f>
        <v/>
      </c>
      <c r="D6" s="297" t="inlineStr">
        <is>
          <t>㎡</t>
        </is>
      </c>
      <c r="E6" s="378">
        <f>经济技术指标!$D$7</f>
        <v/>
      </c>
      <c r="F6" s="378">
        <f>C6/E6*10000</f>
        <v/>
      </c>
      <c r="G6" s="398" t="inlineStr">
        <is>
          <t>单体建筑面积</t>
        </is>
      </c>
      <c r="H6" s="297" t="inlineStr">
        <is>
          <t>单位工程指标</t>
        </is>
      </c>
      <c r="I6" s="299" t="n"/>
      <c r="J6" s="299" t="n"/>
      <c r="K6" s="299" t="n"/>
      <c r="L6" s="299" t="n"/>
      <c r="M6" s="299" t="n"/>
      <c r="N6" s="299" t="n"/>
      <c r="O6" s="299" t="n"/>
      <c r="P6" s="299" t="n"/>
      <c r="Q6" s="299" t="n"/>
      <c r="R6" s="299" t="n"/>
      <c r="S6" s="299" t="n"/>
      <c r="T6" s="299" t="n"/>
      <c r="U6" s="299" t="n"/>
      <c r="V6" s="299" t="n"/>
      <c r="W6" s="299" t="n"/>
      <c r="X6" s="299" t="n"/>
      <c r="Y6" s="299" t="n"/>
      <c r="Z6" s="299" t="n"/>
      <c r="AA6" s="299" t="n"/>
      <c r="AB6" s="299" t="n"/>
      <c r="AC6" s="299" t="n"/>
      <c r="AD6" s="299" t="n"/>
      <c r="AE6" s="299" t="n"/>
      <c r="AF6" s="299" t="n"/>
      <c r="AG6" s="299" t="n"/>
      <c r="AH6" s="299" t="n"/>
      <c r="AI6" s="299" t="n"/>
      <c r="AJ6" s="299" t="n"/>
      <c r="AK6" s="299" t="n"/>
      <c r="AL6" s="299" t="n"/>
      <c r="AM6" s="299" t="n"/>
      <c r="AN6" s="299" t="n"/>
      <c r="AO6" s="299" t="n"/>
      <c r="AP6" s="299" t="n"/>
      <c r="AQ6" s="299" t="n"/>
      <c r="AR6" s="299" t="n"/>
      <c r="AS6" s="299" t="n"/>
      <c r="AT6" s="299" t="n"/>
      <c r="AU6" s="299" t="n"/>
      <c r="AV6" s="299" t="n"/>
      <c r="AW6" s="299" t="n"/>
      <c r="AX6" s="299" t="n"/>
      <c r="AY6" s="299" t="n"/>
      <c r="AZ6" s="299" t="n"/>
      <c r="BA6" s="299" t="n"/>
      <c r="BB6" s="299" t="n"/>
      <c r="BC6" s="299" t="n"/>
      <c r="BD6" s="299" t="n"/>
      <c r="BE6" s="299" t="n"/>
      <c r="BF6" s="299" t="n"/>
      <c r="BG6" s="299" t="n"/>
      <c r="BH6" s="299" t="n"/>
      <c r="BI6" s="299" t="n"/>
      <c r="BJ6" s="299" t="n"/>
      <c r="BK6" s="299" t="n"/>
      <c r="BL6" s="299" t="n"/>
      <c r="BM6" s="299" t="n"/>
      <c r="BN6" s="299" t="n"/>
      <c r="BO6" s="299" t="n"/>
      <c r="BP6" s="299" t="n"/>
      <c r="BQ6" s="299" t="n"/>
      <c r="BR6" s="299" t="n"/>
      <c r="BS6" s="299" t="n"/>
      <c r="BT6" s="299" t="n"/>
      <c r="BU6" s="299" t="n"/>
      <c r="BV6" s="299" t="n"/>
      <c r="BW6" s="299" t="n"/>
      <c r="BX6" s="299" t="n"/>
      <c r="BY6" s="299" t="n"/>
      <c r="BZ6" s="299" t="n"/>
      <c r="CA6" s="299" t="n"/>
      <c r="CB6" s="299" t="n"/>
      <c r="CC6" s="299" t="n"/>
      <c r="CD6" s="299" t="n"/>
      <c r="CE6" s="299" t="n"/>
      <c r="CF6" s="299" t="n"/>
      <c r="CG6" s="299" t="n"/>
      <c r="CH6" s="299" t="n"/>
      <c r="CI6" s="299" t="n"/>
      <c r="CJ6" s="299" t="n"/>
      <c r="CK6" s="299" t="n"/>
      <c r="CL6" s="299" t="n"/>
      <c r="CM6" s="299" t="n"/>
      <c r="CN6" s="299" t="n"/>
      <c r="CO6" s="299" t="n"/>
      <c r="CP6" s="299" t="n"/>
      <c r="CQ6" s="299" t="n"/>
      <c r="CR6" s="299" t="n"/>
      <c r="CS6" s="299" t="n"/>
      <c r="CT6" s="299" t="n"/>
      <c r="CU6" s="299" t="n"/>
      <c r="CV6" s="299" t="n"/>
      <c r="CW6" s="299" t="n"/>
      <c r="CX6" s="299" t="n"/>
      <c r="CY6" s="299" t="n"/>
      <c r="CZ6" s="299" t="n"/>
      <c r="DA6" s="299" t="n"/>
      <c r="DB6" s="299" t="n"/>
      <c r="DC6" s="299" t="n"/>
      <c r="DD6" s="299" t="n"/>
      <c r="DE6" s="299" t="n"/>
      <c r="DF6" s="299" t="n"/>
      <c r="DG6" s="299" t="n"/>
      <c r="DH6" s="299" t="n"/>
      <c r="DI6" s="299" t="n"/>
      <c r="DJ6" s="299" t="n"/>
      <c r="DK6" s="299" t="n"/>
      <c r="DL6" s="299" t="n"/>
      <c r="DM6" s="299" t="n"/>
      <c r="DN6" s="299" t="n"/>
      <c r="DO6" s="299" t="n"/>
      <c r="DP6" s="299" t="n"/>
      <c r="DQ6" s="299" t="n"/>
      <c r="DR6" s="299" t="n"/>
      <c r="DS6" s="299" t="n"/>
      <c r="DT6" s="299" t="n"/>
      <c r="DU6" s="299" t="n"/>
      <c r="DV6" s="299" t="n"/>
      <c r="DW6" s="299" t="n"/>
      <c r="DX6" s="299" t="n"/>
      <c r="DY6" s="299" t="n"/>
      <c r="DZ6" s="299" t="n"/>
      <c r="EA6" s="299" t="n"/>
      <c r="EB6" s="299" t="n"/>
      <c r="EC6" s="299" t="n"/>
      <c r="ED6" s="299" t="n"/>
      <c r="EE6" s="299" t="n"/>
      <c r="EF6" s="299" t="n"/>
      <c r="EG6" s="299" t="n"/>
      <c r="EH6" s="299" t="n"/>
      <c r="EI6" s="299" t="n"/>
      <c r="EJ6" s="299" t="n"/>
      <c r="EK6" s="299" t="n"/>
      <c r="EL6" s="299" t="n"/>
      <c r="EM6" s="299" t="n"/>
      <c r="EN6" s="299" t="n"/>
      <c r="EO6" s="299" t="n"/>
      <c r="EP6" s="299" t="n"/>
      <c r="EQ6" s="299" t="n"/>
      <c r="ER6" s="299" t="n"/>
      <c r="ES6" s="299" t="n"/>
      <c r="ET6" s="299" t="n"/>
      <c r="EU6" s="299" t="n"/>
      <c r="EV6" s="299" t="n"/>
      <c r="EW6" s="299" t="n"/>
      <c r="EX6" s="299" t="n"/>
      <c r="EY6" s="299" t="n"/>
      <c r="EZ6" s="299" t="n"/>
      <c r="FA6" s="299" t="n"/>
      <c r="FB6" s="299" t="n"/>
      <c r="FC6" s="299" t="n"/>
      <c r="FD6" s="299" t="n"/>
      <c r="FE6" s="299" t="n"/>
      <c r="FF6" s="299" t="n"/>
      <c r="FG6" s="299" t="n"/>
      <c r="FH6" s="299" t="n"/>
      <c r="FI6" s="299" t="n"/>
      <c r="FJ6" s="299" t="n"/>
      <c r="FK6" s="299" t="n"/>
      <c r="FL6" s="299" t="n"/>
      <c r="FM6" s="299" t="n"/>
      <c r="FN6" s="299" t="n"/>
      <c r="FO6" s="299" t="n"/>
      <c r="FP6" s="299" t="n"/>
      <c r="FQ6" s="299" t="n"/>
      <c r="FR6" s="299" t="n"/>
      <c r="FS6" s="299" t="n"/>
      <c r="FT6" s="299" t="n"/>
      <c r="FU6" s="299" t="n"/>
      <c r="FV6" s="299" t="n"/>
      <c r="FW6" s="299" t="n"/>
      <c r="FX6" s="299" t="n"/>
      <c r="FY6" s="299" t="n"/>
      <c r="FZ6" s="299" t="n"/>
      <c r="GA6" s="299" t="n"/>
      <c r="GB6" s="299" t="n"/>
      <c r="GC6" s="299" t="n"/>
      <c r="GD6" s="299" t="n"/>
      <c r="GE6" s="299" t="n"/>
      <c r="GF6" s="299" t="n"/>
      <c r="GG6" s="299" t="n"/>
      <c r="GH6" s="299" t="n"/>
      <c r="GI6" s="299" t="n"/>
      <c r="GJ6" s="299" t="n"/>
      <c r="GK6" s="299" t="n"/>
      <c r="GL6" s="299" t="n"/>
      <c r="GM6" s="299" t="n"/>
      <c r="GN6" s="299" t="n"/>
      <c r="GO6" s="299" t="n"/>
      <c r="GP6" s="299" t="n"/>
      <c r="GQ6" s="299" t="n"/>
      <c r="GR6" s="299" t="n"/>
      <c r="GS6" s="299" t="n"/>
      <c r="GT6" s="299" t="n"/>
      <c r="GU6" s="299" t="n"/>
      <c r="GV6" s="299" t="n"/>
      <c r="GW6" s="299" t="n"/>
      <c r="GX6" s="299" t="n"/>
      <c r="GY6" s="299" t="n"/>
      <c r="GZ6" s="299" t="n"/>
      <c r="HA6" s="299" t="n"/>
      <c r="HB6" s="299" t="n"/>
      <c r="HC6" s="299" t="n"/>
      <c r="HD6" s="299" t="n"/>
      <c r="HE6" s="299" t="n"/>
      <c r="HF6" s="299" t="n"/>
      <c r="HG6" s="299" t="n"/>
      <c r="HH6" s="299" t="n"/>
      <c r="HI6" s="299" t="n"/>
      <c r="HJ6" s="299" t="n"/>
      <c r="HK6" s="299" t="n"/>
      <c r="HL6" s="299" t="n"/>
      <c r="HM6" s="299" t="n"/>
      <c r="HN6" s="299" t="n"/>
      <c r="HO6" s="299" t="n"/>
      <c r="HP6" s="299" t="n"/>
      <c r="HQ6" s="299" t="n"/>
      <c r="HR6" s="299" t="n"/>
      <c r="HS6" s="299" t="n"/>
      <c r="HT6" s="299" t="n"/>
      <c r="HU6" s="299" t="n"/>
      <c r="HV6" s="299" t="n"/>
      <c r="HW6" s="299" t="n"/>
      <c r="HX6" s="299" t="n"/>
      <c r="HY6" s="299" t="n"/>
      <c r="HZ6" s="299" t="n"/>
      <c r="IA6" s="299" t="n"/>
    </row>
    <row r="7" outlineLevel="1" ht="30" customFormat="1" customHeight="1" s="268">
      <c r="A7" s="300" t="inlineStr">
        <is>
          <t>1.1.1</t>
        </is>
      </c>
      <c r="B7" s="301" t="inlineStr">
        <is>
          <t>土石方工程</t>
        </is>
      </c>
      <c r="C7" s="399" t="n"/>
      <c r="D7" s="303" t="inlineStr">
        <is>
          <t>㎡</t>
        </is>
      </c>
      <c r="E7" s="382">
        <f>经济技术指标!$D$7</f>
        <v/>
      </c>
      <c r="F7" s="382">
        <f>C7/E7*10000</f>
        <v/>
      </c>
      <c r="G7" s="400" t="inlineStr">
        <is>
          <t>单体建筑面积</t>
        </is>
      </c>
      <c r="H7" s="303" t="inlineStr">
        <is>
          <t>专业工程指标</t>
        </is>
      </c>
    </row>
    <row r="8" outlineLevel="1" ht="30" customFormat="1" customHeight="1" s="268">
      <c r="A8" s="300" t="inlineStr">
        <is>
          <t>1.1.2</t>
        </is>
      </c>
      <c r="B8" s="301" t="inlineStr">
        <is>
          <t>地基处理工程</t>
        </is>
      </c>
      <c r="C8" s="399" t="n"/>
      <c r="D8" s="303" t="inlineStr">
        <is>
          <t>㎡</t>
        </is>
      </c>
      <c r="E8" s="382">
        <f>经济技术指标!$D$7</f>
        <v/>
      </c>
      <c r="F8" s="382">
        <f>C8/E8*10000</f>
        <v/>
      </c>
      <c r="G8" s="400" t="inlineStr">
        <is>
          <t>单体建筑面积</t>
        </is>
      </c>
      <c r="H8" s="303" t="inlineStr">
        <is>
          <t>专业工程指标</t>
        </is>
      </c>
    </row>
    <row r="9" outlineLevel="1" ht="30" customFormat="1" customHeight="1" s="268">
      <c r="A9" s="300" t="inlineStr">
        <is>
          <t>1.1.3</t>
        </is>
      </c>
      <c r="B9" s="401" t="inlineStr">
        <is>
          <t>基坑围护工程</t>
        </is>
      </c>
      <c r="C9" s="399" t="n"/>
      <c r="D9" s="303" t="inlineStr">
        <is>
          <t>㎡</t>
        </is>
      </c>
      <c r="E9" s="382">
        <f>经济技术指标!$D$7</f>
        <v/>
      </c>
      <c r="F9" s="382">
        <f>C9/E9*10000</f>
        <v/>
      </c>
      <c r="G9" s="400" t="inlineStr">
        <is>
          <t>单体建筑面积</t>
        </is>
      </c>
      <c r="H9" s="303" t="inlineStr">
        <is>
          <t>专业工程指标</t>
        </is>
      </c>
    </row>
    <row r="10" outlineLevel="1" ht="30" customFormat="1" customHeight="1" s="268">
      <c r="A10" s="300" t="inlineStr">
        <is>
          <t>1.1.4</t>
        </is>
      </c>
      <c r="B10" s="401" t="inlineStr">
        <is>
          <t>桩基工程</t>
        </is>
      </c>
      <c r="C10" s="399" t="n"/>
      <c r="D10" s="303" t="inlineStr">
        <is>
          <t>㎡</t>
        </is>
      </c>
      <c r="E10" s="382">
        <f>经济技术指标!$D$7</f>
        <v/>
      </c>
      <c r="F10" s="382">
        <f>C10/E10*10000</f>
        <v/>
      </c>
      <c r="G10" s="400" t="inlineStr">
        <is>
          <t>单体建筑面积</t>
        </is>
      </c>
      <c r="H10" s="303" t="inlineStr">
        <is>
          <t>专业工程指标</t>
        </is>
      </c>
    </row>
    <row r="11" outlineLevel="1" ht="30" customFormat="1" customHeight="1" s="268">
      <c r="A11" s="300" t="inlineStr">
        <is>
          <t>1.1.5</t>
        </is>
      </c>
      <c r="B11" s="306" t="inlineStr">
        <is>
          <t>建筑工程</t>
        </is>
      </c>
      <c r="C11" s="399" t="n"/>
      <c r="D11" s="303" t="inlineStr">
        <is>
          <t>㎡</t>
        </is>
      </c>
      <c r="E11" s="382">
        <f>经济技术指标!$D$7</f>
        <v/>
      </c>
      <c r="F11" s="382">
        <f>C11/E11*10000</f>
        <v/>
      </c>
      <c r="G11" s="400" t="inlineStr">
        <is>
          <t>单体建筑面积</t>
        </is>
      </c>
      <c r="H11" s="303" t="inlineStr">
        <is>
          <t>专业工程指标</t>
        </is>
      </c>
    </row>
    <row r="12" outlineLevel="1" ht="30" customFormat="1" customHeight="1" s="268">
      <c r="A12" s="300" t="inlineStr">
        <is>
          <t>1.1.6</t>
        </is>
      </c>
      <c r="B12" s="401" t="inlineStr">
        <is>
          <t>钢结构工程</t>
        </is>
      </c>
      <c r="C12" s="399" t="n"/>
      <c r="D12" s="303" t="inlineStr">
        <is>
          <t>㎡</t>
        </is>
      </c>
      <c r="E12" s="382">
        <f>经济技术指标!$D$7</f>
        <v/>
      </c>
      <c r="F12" s="382">
        <f>C12/E12*10000</f>
        <v/>
      </c>
      <c r="G12" s="400" t="inlineStr">
        <is>
          <t>单体建筑面积</t>
        </is>
      </c>
      <c r="H12" s="303" t="inlineStr">
        <is>
          <t>专业工程指标</t>
        </is>
      </c>
    </row>
    <row r="13" outlineLevel="1" ht="30" customFormat="1" customHeight="1" s="268">
      <c r="A13" s="300" t="inlineStr">
        <is>
          <t>1.1.7</t>
        </is>
      </c>
      <c r="B13" s="401" t="inlineStr">
        <is>
          <t>精装修工程</t>
        </is>
      </c>
      <c r="C13" s="399" t="n"/>
      <c r="D13" s="303" t="inlineStr">
        <is>
          <t>㎡</t>
        </is>
      </c>
      <c r="E13" s="382">
        <f>经济技术指标!$D$7</f>
        <v/>
      </c>
      <c r="F13" s="382">
        <f>C13/E13*10000</f>
        <v/>
      </c>
      <c r="G13" s="400" t="inlineStr">
        <is>
          <t>单体建筑面积</t>
        </is>
      </c>
      <c r="H13" s="303" t="inlineStr">
        <is>
          <t>专业工程指标</t>
        </is>
      </c>
    </row>
    <row r="14" outlineLevel="1" ht="30" customFormat="1" customHeight="1" s="268">
      <c r="A14" s="300" t="n"/>
      <c r="B14" s="307" t="inlineStr">
        <is>
          <t>……</t>
        </is>
      </c>
      <c r="C14" s="399" t="n"/>
      <c r="D14" s="303" t="n"/>
      <c r="E14" s="382" t="n"/>
      <c r="F14" s="382" t="n"/>
      <c r="G14" s="400" t="n"/>
      <c r="H14" s="303" t="n"/>
    </row>
    <row r="15" ht="30" customFormat="1" customHeight="1" s="270">
      <c r="A15" s="294" t="n">
        <v>1.2</v>
      </c>
      <c r="B15" s="384" t="inlineStr">
        <is>
          <t>B区地下室工程</t>
        </is>
      </c>
      <c r="C15" s="397">
        <f>SUM(C16:C23)</f>
        <v/>
      </c>
      <c r="D15" s="297" t="inlineStr">
        <is>
          <t>㎡</t>
        </is>
      </c>
      <c r="E15" s="378">
        <f>经济技术指标!$D$8</f>
        <v/>
      </c>
      <c r="F15" s="378">
        <f>C15/E15*10000</f>
        <v/>
      </c>
      <c r="G15" s="398" t="inlineStr">
        <is>
          <t>单体建筑面积</t>
        </is>
      </c>
      <c r="H15" s="297" t="inlineStr">
        <is>
          <t>单位工程指标</t>
        </is>
      </c>
    </row>
    <row r="16" outlineLevel="1" ht="30" customFormat="1" customHeight="1" s="268">
      <c r="A16" s="300" t="inlineStr">
        <is>
          <t>1.2.1</t>
        </is>
      </c>
      <c r="B16" s="301" t="inlineStr">
        <is>
          <t>土石方工程</t>
        </is>
      </c>
      <c r="C16" s="399" t="n"/>
      <c r="D16" s="309" t="inlineStr">
        <is>
          <t>m³</t>
        </is>
      </c>
      <c r="E16" s="382">
        <f>经济技术指标!$D$8</f>
        <v/>
      </c>
      <c r="F16" s="382">
        <f>C16/E16*10000</f>
        <v/>
      </c>
      <c r="G16" s="400" t="inlineStr">
        <is>
          <t>单体建筑面积</t>
        </is>
      </c>
      <c r="H16" s="303" t="inlineStr">
        <is>
          <t>专业工程指标</t>
        </is>
      </c>
    </row>
    <row r="17" outlineLevel="1" ht="30" customFormat="1" customHeight="1" s="268">
      <c r="A17" s="300" t="inlineStr">
        <is>
          <t>1.2.2</t>
        </is>
      </c>
      <c r="B17" s="301" t="inlineStr">
        <is>
          <t>地基处理工程</t>
        </is>
      </c>
      <c r="C17" s="399" t="n"/>
      <c r="D17" s="303" t="inlineStr">
        <is>
          <t>㎡</t>
        </is>
      </c>
      <c r="E17" s="382">
        <f>经济技术指标!$D$8</f>
        <v/>
      </c>
      <c r="F17" s="382">
        <f>C17/E17*10000</f>
        <v/>
      </c>
      <c r="G17" s="400" t="inlineStr">
        <is>
          <t>单体建筑面积</t>
        </is>
      </c>
      <c r="H17" s="303" t="inlineStr">
        <is>
          <t>专业工程指标</t>
        </is>
      </c>
    </row>
    <row r="18" outlineLevel="1" ht="30" customFormat="1" customHeight="1" s="268">
      <c r="A18" s="300" t="inlineStr">
        <is>
          <t>1.2.2</t>
        </is>
      </c>
      <c r="B18" s="401" t="inlineStr">
        <is>
          <t>基坑围护工程</t>
        </is>
      </c>
      <c r="C18" s="399" t="n"/>
      <c r="D18" s="303" t="inlineStr">
        <is>
          <t>m</t>
        </is>
      </c>
      <c r="E18" s="382">
        <f>经济技术指标!$D$8</f>
        <v/>
      </c>
      <c r="F18" s="382">
        <f>C18/E18*10000</f>
        <v/>
      </c>
      <c r="G18" s="400" t="inlineStr">
        <is>
          <t>单体建筑面积</t>
        </is>
      </c>
      <c r="H18" s="303" t="inlineStr">
        <is>
          <t>专业工程指标</t>
        </is>
      </c>
    </row>
    <row r="19" outlineLevel="1" ht="30" customFormat="1" customHeight="1" s="268">
      <c r="A19" s="300" t="inlineStr">
        <is>
          <t>1.2.3</t>
        </is>
      </c>
      <c r="B19" s="401" t="inlineStr">
        <is>
          <t>桩基工程</t>
        </is>
      </c>
      <c r="C19" s="399" t="n"/>
      <c r="D19" s="303" t="inlineStr">
        <is>
          <t>㎡</t>
        </is>
      </c>
      <c r="E19" s="382">
        <f>经济技术指标!$D$8</f>
        <v/>
      </c>
      <c r="F19" s="382">
        <f>C19/E19*10000</f>
        <v/>
      </c>
      <c r="G19" s="400" t="inlineStr">
        <is>
          <t>单体建筑面积</t>
        </is>
      </c>
      <c r="H19" s="303" t="inlineStr">
        <is>
          <t>专业工程指标</t>
        </is>
      </c>
    </row>
    <row r="20" outlineLevel="1" ht="30" customFormat="1" customHeight="1" s="268">
      <c r="A20" s="300" t="inlineStr">
        <is>
          <t>1.2.4</t>
        </is>
      </c>
      <c r="B20" s="306" t="inlineStr">
        <is>
          <t>建筑工程</t>
        </is>
      </c>
      <c r="C20" s="399" t="n"/>
      <c r="D20" s="303" t="inlineStr">
        <is>
          <t>㎡</t>
        </is>
      </c>
      <c r="E20" s="382">
        <f>经济技术指标!$D$8</f>
        <v/>
      </c>
      <c r="F20" s="382">
        <f>C20/E20*10000</f>
        <v/>
      </c>
      <c r="G20" s="400" t="inlineStr">
        <is>
          <t>单体建筑面积</t>
        </is>
      </c>
      <c r="H20" s="303" t="inlineStr">
        <is>
          <t>专业工程指标</t>
        </is>
      </c>
    </row>
    <row r="21" outlineLevel="1" ht="30" customFormat="1" customHeight="1" s="268">
      <c r="A21" s="300" t="inlineStr">
        <is>
          <t>1.2.5</t>
        </is>
      </c>
      <c r="B21" s="401" t="inlineStr">
        <is>
          <t>钢结构工程</t>
        </is>
      </c>
      <c r="C21" s="399" t="n"/>
      <c r="D21" s="303" t="inlineStr">
        <is>
          <t>㎡</t>
        </is>
      </c>
      <c r="E21" s="382">
        <f>经济技术指标!$D$8</f>
        <v/>
      </c>
      <c r="F21" s="382">
        <f>C21/E21*10000</f>
        <v/>
      </c>
      <c r="G21" s="400" t="inlineStr">
        <is>
          <t>单体建筑面积</t>
        </is>
      </c>
      <c r="H21" s="303" t="inlineStr">
        <is>
          <t>专业工程指标</t>
        </is>
      </c>
    </row>
    <row r="22" outlineLevel="1" ht="30" customFormat="1" customHeight="1" s="268">
      <c r="A22" s="300" t="inlineStr">
        <is>
          <t>1.2.6</t>
        </is>
      </c>
      <c r="B22" s="401" t="inlineStr">
        <is>
          <t>精装修工程</t>
        </is>
      </c>
      <c r="C22" s="399" t="n"/>
      <c r="D22" s="303" t="inlineStr">
        <is>
          <t>㎡</t>
        </is>
      </c>
      <c r="E22" s="382">
        <f>经济技术指标!$D$8</f>
        <v/>
      </c>
      <c r="F22" s="382">
        <f>C22/E22*10000</f>
        <v/>
      </c>
      <c r="G22" s="400" t="inlineStr">
        <is>
          <t>单体建筑面积</t>
        </is>
      </c>
      <c r="H22" s="303" t="inlineStr">
        <is>
          <t>专业工程指标</t>
        </is>
      </c>
    </row>
    <row r="23" outlineLevel="1" ht="30" customFormat="1" customHeight="1" s="268">
      <c r="A23" s="300" t="n"/>
      <c r="B23" s="307" t="inlineStr">
        <is>
          <t>……</t>
        </is>
      </c>
      <c r="C23" s="399" t="n"/>
      <c r="D23" s="303" t="n"/>
      <c r="E23" s="382" t="n"/>
      <c r="F23" s="382" t="n"/>
      <c r="G23" s="400" t="n"/>
      <c r="H23" s="303" t="n"/>
    </row>
    <row r="24" ht="30" customFormat="1" customHeight="1" s="270">
      <c r="A24" s="294" t="n">
        <v>1.3</v>
      </c>
      <c r="B24" s="384" t="inlineStr">
        <is>
          <t>1#楼工程</t>
        </is>
      </c>
      <c r="C24" s="397">
        <f>SUM(C25:C29)</f>
        <v/>
      </c>
      <c r="D24" s="297" t="inlineStr">
        <is>
          <t>㎡</t>
        </is>
      </c>
      <c r="E24" s="378">
        <f>经济技术指标!$D$10</f>
        <v/>
      </c>
      <c r="F24" s="378">
        <f>C24/E24*10000</f>
        <v/>
      </c>
      <c r="G24" s="398" t="inlineStr">
        <is>
          <t>单体建筑面积</t>
        </is>
      </c>
      <c r="H24" s="297" t="inlineStr">
        <is>
          <t>单位工程指标</t>
        </is>
      </c>
    </row>
    <row r="25" outlineLevel="1" ht="30" customFormat="1" customHeight="1" s="268">
      <c r="A25" s="300" t="inlineStr">
        <is>
          <t>1.3.1</t>
        </is>
      </c>
      <c r="B25" s="306" t="inlineStr">
        <is>
          <t>建筑工程</t>
        </is>
      </c>
      <c r="C25" s="399" t="n"/>
      <c r="D25" s="303" t="inlineStr">
        <is>
          <t>㎡</t>
        </is>
      </c>
      <c r="E25" s="382">
        <f>经济技术指标!$D$10</f>
        <v/>
      </c>
      <c r="F25" s="382">
        <f>C25/E25*10000</f>
        <v/>
      </c>
      <c r="G25" s="400" t="inlineStr">
        <is>
          <t>单体建筑面积</t>
        </is>
      </c>
      <c r="H25" s="303" t="inlineStr">
        <is>
          <t>专业工程指标</t>
        </is>
      </c>
    </row>
    <row r="26" outlineLevel="1" ht="30" customFormat="1" customHeight="1" s="268">
      <c r="A26" s="300" t="inlineStr">
        <is>
          <t>1.3.2</t>
        </is>
      </c>
      <c r="B26" s="401" t="inlineStr">
        <is>
          <t>钢结构工程</t>
        </is>
      </c>
      <c r="C26" s="399" t="n"/>
      <c r="D26" s="303" t="inlineStr">
        <is>
          <t>㎡</t>
        </is>
      </c>
      <c r="E26" s="382">
        <f>经济技术指标!$D$10</f>
        <v/>
      </c>
      <c r="F26" s="382">
        <f>C26/E26*10000</f>
        <v/>
      </c>
      <c r="G26" s="400" t="inlineStr">
        <is>
          <t>单体建筑面积</t>
        </is>
      </c>
      <c r="H26" s="303" t="inlineStr">
        <is>
          <t>专业工程指标</t>
        </is>
      </c>
    </row>
    <row r="27" outlineLevel="1" ht="30" customFormat="1" customHeight="1" s="268">
      <c r="A27" s="300" t="inlineStr">
        <is>
          <t>1.3.3</t>
        </is>
      </c>
      <c r="B27" s="401" t="inlineStr">
        <is>
          <t>幕墙工程</t>
        </is>
      </c>
      <c r="C27" s="399" t="n"/>
      <c r="D27" s="303" t="inlineStr">
        <is>
          <t>㎡</t>
        </is>
      </c>
      <c r="E27" s="382">
        <f>经济技术指标!$D$10</f>
        <v/>
      </c>
      <c r="F27" s="382">
        <f>C27/E27*10000</f>
        <v/>
      </c>
      <c r="G27" s="400" t="inlineStr">
        <is>
          <t>单体建筑面积</t>
        </is>
      </c>
      <c r="H27" s="303" t="inlineStr">
        <is>
          <t>专业工程指标</t>
        </is>
      </c>
    </row>
    <row r="28" outlineLevel="1" ht="30" customFormat="1" customHeight="1" s="268">
      <c r="A28" s="300" t="inlineStr">
        <is>
          <t>1.3.4</t>
        </is>
      </c>
      <c r="B28" s="401" t="inlineStr">
        <is>
          <t>精装修工程</t>
        </is>
      </c>
      <c r="C28" s="399" t="n"/>
      <c r="D28" s="303" t="inlineStr">
        <is>
          <t>㎡</t>
        </is>
      </c>
      <c r="E28" s="382">
        <f>经济技术指标!$D$10</f>
        <v/>
      </c>
      <c r="F28" s="382">
        <f>C28/E28*10000</f>
        <v/>
      </c>
      <c r="G28" s="400" t="inlineStr">
        <is>
          <t>单体建筑面积</t>
        </is>
      </c>
      <c r="H28" s="303" t="inlineStr">
        <is>
          <t>专业工程指标</t>
        </is>
      </c>
    </row>
    <row r="29" outlineLevel="1" ht="30" customFormat="1" customHeight="1" s="268">
      <c r="A29" s="300" t="n"/>
      <c r="B29" s="307" t="inlineStr">
        <is>
          <t>……</t>
        </is>
      </c>
      <c r="C29" s="399" t="n"/>
      <c r="D29" s="303" t="n"/>
      <c r="E29" s="382" t="n"/>
      <c r="F29" s="382" t="n"/>
      <c r="G29" s="400" t="n"/>
      <c r="H29" s="303" t="n"/>
    </row>
    <row r="30" ht="30" customFormat="1" customHeight="1" s="270">
      <c r="A30" s="294" t="n">
        <v>1.4</v>
      </c>
      <c r="B30" s="384" t="inlineStr">
        <is>
          <t>2#楼工程</t>
        </is>
      </c>
      <c r="C30" s="397">
        <f>SUM(C31:C35)</f>
        <v/>
      </c>
      <c r="D30" s="297" t="inlineStr">
        <is>
          <t>㎡</t>
        </is>
      </c>
      <c r="E30" s="378">
        <f>经济技术指标!$D$11</f>
        <v/>
      </c>
      <c r="F30" s="378">
        <f>C30/E30*10000</f>
        <v/>
      </c>
      <c r="G30" s="398" t="inlineStr">
        <is>
          <t>单体建筑面积</t>
        </is>
      </c>
      <c r="H30" s="297" t="inlineStr">
        <is>
          <t>单位工程指标</t>
        </is>
      </c>
    </row>
    <row r="31" outlineLevel="1" ht="30" customFormat="1" customHeight="1" s="268">
      <c r="A31" s="300" t="inlineStr">
        <is>
          <t>1.4.1</t>
        </is>
      </c>
      <c r="B31" s="306" t="inlineStr">
        <is>
          <t>建筑工程</t>
        </is>
      </c>
      <c r="C31" s="399" t="n"/>
      <c r="D31" s="303" t="inlineStr">
        <is>
          <t>㎡</t>
        </is>
      </c>
      <c r="E31" s="382">
        <f>经济技术指标!$D$11</f>
        <v/>
      </c>
      <c r="F31" s="382">
        <f>C31/E31*10000</f>
        <v/>
      </c>
      <c r="G31" s="400" t="inlineStr">
        <is>
          <t>单体建筑面积</t>
        </is>
      </c>
      <c r="H31" s="303" t="inlineStr">
        <is>
          <t>专业工程指标</t>
        </is>
      </c>
    </row>
    <row r="32" outlineLevel="1" ht="30" customFormat="1" customHeight="1" s="268">
      <c r="A32" s="300" t="inlineStr">
        <is>
          <t>1.4.2</t>
        </is>
      </c>
      <c r="B32" s="401" t="inlineStr">
        <is>
          <t>钢结构工程</t>
        </is>
      </c>
      <c r="C32" s="399" t="n"/>
      <c r="D32" s="303" t="inlineStr">
        <is>
          <t>㎡</t>
        </is>
      </c>
      <c r="E32" s="382">
        <f>经济技术指标!$D$11</f>
        <v/>
      </c>
      <c r="F32" s="382">
        <f>C32/E32*10000</f>
        <v/>
      </c>
      <c r="G32" s="400" t="inlineStr">
        <is>
          <t>单体建筑面积</t>
        </is>
      </c>
      <c r="H32" s="303" t="inlineStr">
        <is>
          <t>专业工程指标</t>
        </is>
      </c>
    </row>
    <row r="33" outlineLevel="1" ht="30" customFormat="1" customHeight="1" s="268">
      <c r="A33" s="300" t="inlineStr">
        <is>
          <t>1.4.3</t>
        </is>
      </c>
      <c r="B33" s="401" t="inlineStr">
        <is>
          <t>幕墙工程</t>
        </is>
      </c>
      <c r="C33" s="399" t="n"/>
      <c r="D33" s="303" t="inlineStr">
        <is>
          <t>㎡</t>
        </is>
      </c>
      <c r="E33" s="382">
        <f>经济技术指标!$D$11</f>
        <v/>
      </c>
      <c r="F33" s="382">
        <f>C33/E33*10000</f>
        <v/>
      </c>
      <c r="G33" s="400" t="inlineStr">
        <is>
          <t>单体建筑面积</t>
        </is>
      </c>
      <c r="H33" s="303" t="inlineStr">
        <is>
          <t>专业工程指标</t>
        </is>
      </c>
    </row>
    <row r="34" outlineLevel="1" ht="30" customFormat="1" customHeight="1" s="268">
      <c r="A34" s="300" t="inlineStr">
        <is>
          <t>1.4.4</t>
        </is>
      </c>
      <c r="B34" s="401" t="inlineStr">
        <is>
          <t>精装修工程</t>
        </is>
      </c>
      <c r="C34" s="399" t="n"/>
      <c r="D34" s="303" t="inlineStr">
        <is>
          <t>㎡</t>
        </is>
      </c>
      <c r="E34" s="382">
        <f>经济技术指标!$D$11</f>
        <v/>
      </c>
      <c r="F34" s="382">
        <f>C34/E34*10000</f>
        <v/>
      </c>
      <c r="G34" s="400" t="inlineStr">
        <is>
          <t>单体建筑面积</t>
        </is>
      </c>
      <c r="H34" s="303" t="inlineStr">
        <is>
          <t>专业工程指标</t>
        </is>
      </c>
    </row>
    <row r="35" outlineLevel="1" ht="30" customFormat="1" customHeight="1" s="268">
      <c r="A35" s="300" t="n"/>
      <c r="B35" s="307" t="inlineStr">
        <is>
          <t>……</t>
        </is>
      </c>
      <c r="C35" s="399" t="n"/>
      <c r="D35" s="303" t="n"/>
      <c r="E35" s="382" t="n"/>
      <c r="F35" s="382" t="n"/>
      <c r="G35" s="400" t="n"/>
      <c r="H35" s="303" t="n"/>
    </row>
    <row r="36" ht="30" customFormat="1" customHeight="1" s="270">
      <c r="A36" s="294" t="n">
        <v>1.5</v>
      </c>
      <c r="B36" s="384" t="inlineStr">
        <is>
          <t>3#楼工程</t>
        </is>
      </c>
      <c r="C36" s="397">
        <f>SUM(C37:C41)</f>
        <v/>
      </c>
      <c r="D36" s="297" t="inlineStr">
        <is>
          <t>㎡</t>
        </is>
      </c>
      <c r="E36" s="378">
        <f>经济技术指标!$D$12</f>
        <v/>
      </c>
      <c r="F36" s="378">
        <f>C36/E36*10000</f>
        <v/>
      </c>
      <c r="G36" s="398" t="inlineStr">
        <is>
          <t>单体建筑面积</t>
        </is>
      </c>
      <c r="H36" s="297" t="inlineStr">
        <is>
          <t>单位工程指标</t>
        </is>
      </c>
    </row>
    <row r="37" outlineLevel="1" ht="30" customFormat="1" customHeight="1" s="268">
      <c r="A37" s="300" t="inlineStr">
        <is>
          <t>1.5.1</t>
        </is>
      </c>
      <c r="B37" s="306" t="inlineStr">
        <is>
          <t>建筑工程</t>
        </is>
      </c>
      <c r="C37" s="399" t="n"/>
      <c r="D37" s="303" t="inlineStr">
        <is>
          <t>㎡</t>
        </is>
      </c>
      <c r="E37" s="382">
        <f>经济技术指标!$D$12</f>
        <v/>
      </c>
      <c r="F37" s="382">
        <f>C37/E37*10000</f>
        <v/>
      </c>
      <c r="G37" s="400" t="inlineStr">
        <is>
          <t>单体建筑面积</t>
        </is>
      </c>
      <c r="H37" s="303" t="inlineStr">
        <is>
          <t>专业工程指标</t>
        </is>
      </c>
    </row>
    <row r="38" outlineLevel="1" ht="30" customFormat="1" customHeight="1" s="268">
      <c r="A38" s="300" t="inlineStr">
        <is>
          <t>1.5.2</t>
        </is>
      </c>
      <c r="B38" s="401" t="inlineStr">
        <is>
          <t>钢结构工程</t>
        </is>
      </c>
      <c r="C38" s="399" t="n"/>
      <c r="D38" s="303" t="inlineStr">
        <is>
          <t>㎡</t>
        </is>
      </c>
      <c r="E38" s="382">
        <f>经济技术指标!$D$12</f>
        <v/>
      </c>
      <c r="F38" s="382">
        <f>C38/E38*10000</f>
        <v/>
      </c>
      <c r="G38" s="400" t="inlineStr">
        <is>
          <t>单体建筑面积</t>
        </is>
      </c>
      <c r="H38" s="303" t="inlineStr">
        <is>
          <t>专业工程指标</t>
        </is>
      </c>
    </row>
    <row r="39" outlineLevel="1" ht="30" customFormat="1" customHeight="1" s="268">
      <c r="A39" s="300" t="inlineStr">
        <is>
          <t>1.5.3</t>
        </is>
      </c>
      <c r="B39" s="401" t="inlineStr">
        <is>
          <t>幕墙工程</t>
        </is>
      </c>
      <c r="C39" s="399" t="n"/>
      <c r="D39" s="303" t="inlineStr">
        <is>
          <t>㎡</t>
        </is>
      </c>
      <c r="E39" s="382">
        <f>经济技术指标!$D$12</f>
        <v/>
      </c>
      <c r="F39" s="382">
        <f>C39/E39*10000</f>
        <v/>
      </c>
      <c r="G39" s="400" t="inlineStr">
        <is>
          <t>单体建筑面积</t>
        </is>
      </c>
      <c r="H39" s="303" t="inlineStr">
        <is>
          <t>专业工程指标</t>
        </is>
      </c>
    </row>
    <row r="40" outlineLevel="1" ht="30" customFormat="1" customHeight="1" s="268">
      <c r="A40" s="300" t="inlineStr">
        <is>
          <t>1.5.4</t>
        </is>
      </c>
      <c r="B40" s="401" t="inlineStr">
        <is>
          <t>精装修工程</t>
        </is>
      </c>
      <c r="C40" s="399" t="n"/>
      <c r="D40" s="303" t="inlineStr">
        <is>
          <t>㎡</t>
        </is>
      </c>
      <c r="E40" s="382">
        <f>经济技术指标!$D$12</f>
        <v/>
      </c>
      <c r="F40" s="382">
        <f>C40/E40*10000</f>
        <v/>
      </c>
      <c r="G40" s="400" t="inlineStr">
        <is>
          <t>单体建筑面积</t>
        </is>
      </c>
      <c r="H40" s="303" t="inlineStr">
        <is>
          <t>专业工程指标</t>
        </is>
      </c>
    </row>
    <row r="41" outlineLevel="1" ht="30" customFormat="1" customHeight="1" s="268">
      <c r="A41" s="300" t="n"/>
      <c r="B41" s="307" t="inlineStr">
        <is>
          <t>……</t>
        </is>
      </c>
      <c r="C41" s="399" t="n"/>
      <c r="D41" s="303" t="n"/>
      <c r="E41" s="382" t="n"/>
      <c r="F41" s="382" t="n"/>
      <c r="G41" s="400" t="n"/>
      <c r="H41" s="303" t="n"/>
    </row>
    <row r="42" ht="30" customFormat="1" customHeight="1" s="270">
      <c r="A42" s="294" t="n">
        <v>1.6</v>
      </c>
      <c r="B42" s="384" t="inlineStr">
        <is>
          <t>构筑物（***）工程</t>
        </is>
      </c>
      <c r="C42" s="397">
        <f>SUM(C43:C46)</f>
        <v/>
      </c>
      <c r="D42" s="297" t="inlineStr">
        <is>
          <t>㎡</t>
        </is>
      </c>
      <c r="E42" s="378">
        <f>经济技术指标!$D$13</f>
        <v/>
      </c>
      <c r="F42" s="378">
        <f>C42/E42*10000</f>
        <v/>
      </c>
      <c r="G42" s="398" t="inlineStr">
        <is>
          <t>单体建筑面积</t>
        </is>
      </c>
      <c r="H42" s="297" t="inlineStr">
        <is>
          <t>单位工程指标</t>
        </is>
      </c>
    </row>
    <row r="43" outlineLevel="1" ht="30" customFormat="1" customHeight="1" s="268">
      <c r="A43" s="300" t="inlineStr">
        <is>
          <t>1.6.1</t>
        </is>
      </c>
      <c r="B43" s="306" t="inlineStr">
        <is>
          <t>建筑工程</t>
        </is>
      </c>
      <c r="C43" s="399" t="n"/>
      <c r="D43" s="303" t="inlineStr">
        <is>
          <t>㎡</t>
        </is>
      </c>
      <c r="E43" s="382">
        <f>经济技术指标!$D$13</f>
        <v/>
      </c>
      <c r="F43" s="382">
        <f>C43/E43*10000</f>
        <v/>
      </c>
      <c r="G43" s="400" t="inlineStr">
        <is>
          <t>单体建筑面积</t>
        </is>
      </c>
      <c r="H43" s="303" t="inlineStr">
        <is>
          <t>专业工程指标</t>
        </is>
      </c>
    </row>
    <row r="44" outlineLevel="1" ht="30" customFormat="1" customHeight="1" s="268">
      <c r="A44" s="300" t="inlineStr">
        <is>
          <t>1.6.2</t>
        </is>
      </c>
      <c r="B44" s="401" t="inlineStr">
        <is>
          <t>构筑物工程</t>
        </is>
      </c>
      <c r="C44" s="399" t="n"/>
      <c r="D44" s="303" t="inlineStr">
        <is>
          <t>㎡</t>
        </is>
      </c>
      <c r="E44" s="382">
        <f>经济技术指标!$D$13</f>
        <v/>
      </c>
      <c r="F44" s="382">
        <f>C44/E44*10000</f>
        <v/>
      </c>
      <c r="G44" s="400" t="inlineStr">
        <is>
          <t>单体建筑面积</t>
        </is>
      </c>
      <c r="H44" s="303" t="inlineStr">
        <is>
          <t>专业工程指标</t>
        </is>
      </c>
    </row>
    <row r="45" outlineLevel="1" ht="30" customFormat="1" customHeight="1" s="268">
      <c r="A45" s="300" t="inlineStr">
        <is>
          <t>1.6.4</t>
        </is>
      </c>
      <c r="B45" s="401" t="inlineStr">
        <is>
          <t>精装修工程</t>
        </is>
      </c>
      <c r="C45" s="399" t="n"/>
      <c r="D45" s="303" t="inlineStr">
        <is>
          <t>㎡</t>
        </is>
      </c>
      <c r="E45" s="382">
        <f>经济技术指标!$D$13</f>
        <v/>
      </c>
      <c r="F45" s="382">
        <f>C45/E45*10000</f>
        <v/>
      </c>
      <c r="G45" s="400" t="inlineStr">
        <is>
          <t>单体建筑面积</t>
        </is>
      </c>
      <c r="H45" s="303" t="inlineStr">
        <is>
          <t>专业工程指标</t>
        </is>
      </c>
    </row>
    <row r="46" outlineLevel="1" ht="30" customFormat="1" customHeight="1" s="268">
      <c r="A46" s="300" t="n"/>
      <c r="B46" s="307" t="inlineStr">
        <is>
          <t>……</t>
        </is>
      </c>
      <c r="C46" s="399" t="n"/>
      <c r="D46" s="303" t="n"/>
      <c r="E46" s="382" t="n"/>
      <c r="F46" s="382" t="n"/>
      <c r="G46" s="400" t="n"/>
      <c r="H46" s="303" t="n"/>
    </row>
    <row r="47" ht="30" customFormat="1" customHeight="1" s="268"/>
    <row r="48" ht="30" customFormat="1" customHeight="1" s="268"/>
    <row r="49" ht="30" customFormat="1" customHeight="1" s="268"/>
    <row r="50" ht="30" customFormat="1" customHeight="1" s="268"/>
    <row r="51" ht="30" customFormat="1" customHeight="1" s="268"/>
    <row r="52" ht="30" customFormat="1" customHeight="1" s="268"/>
    <row r="53" ht="30" customFormat="1" customHeight="1" s="268"/>
    <row r="54" ht="30" customFormat="1" customHeight="1" s="268"/>
    <row r="55" ht="30" customFormat="1" customHeight="1" s="268"/>
    <row r="56" ht="30" customFormat="1" customHeight="1" s="268"/>
    <row r="57" ht="30" customFormat="1" customHeight="1" s="268"/>
    <row r="58" ht="30" customFormat="1" customHeight="1" s="268"/>
    <row r="59" ht="30" customFormat="1" customHeight="1" s="268"/>
    <row r="60" ht="30" customFormat="1" customHeight="1" s="268"/>
    <row r="61" ht="30" customFormat="1" customHeight="1" s="268"/>
    <row r="62" ht="30" customFormat="1" customHeight="1" s="268"/>
    <row r="63" ht="30" customFormat="1" customHeight="1" s="268"/>
    <row r="64" ht="30" customFormat="1" customHeight="1" s="268"/>
    <row r="65" ht="30" customFormat="1" customHeight="1" s="268"/>
    <row r="66" ht="30" customHeight="1" s="388"/>
  </sheetData>
  <mergeCells count="6">
    <mergeCell ref="C3:C4"/>
    <mergeCell ref="A2:H2"/>
    <mergeCell ref="A3:A4"/>
    <mergeCell ref="B3:B4"/>
    <mergeCell ref="A1:H1"/>
    <mergeCell ref="D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55"/>
  <sheetViews>
    <sheetView zoomScale="115" zoomScaleNormal="115" workbookViewId="0">
      <pane ySplit="4" topLeftCell="A7" activePane="bottomLeft" state="frozen"/>
      <selection activeCell="A1" sqref="A1"/>
      <selection pane="bottomLeft" activeCell="F8" sqref="F8"/>
    </sheetView>
  </sheetViews>
  <sheetFormatPr baseColWidth="8" defaultColWidth="9" defaultRowHeight="13.5"/>
  <cols>
    <col width="6" customWidth="1" style="173" min="1" max="1"/>
    <col width="18.375" customWidth="1" style="118" min="2" max="2"/>
    <col width="9" customWidth="1" style="118" min="3" max="3"/>
    <col width="5.50833333333333" customWidth="1" style="118" min="4" max="4"/>
    <col width="8.875" customWidth="1" style="120" min="5" max="6"/>
    <col width="11.75" customWidth="1" style="118" min="7" max="7"/>
    <col width="7.2" customWidth="1" style="118" min="8" max="8"/>
    <col width="9" customWidth="1" style="118" min="9" max="244"/>
    <col width="9" customWidth="1" style="368" min="245" max="16377"/>
  </cols>
  <sheetData>
    <row r="1" ht="32.1" customFormat="1" customHeight="1" s="118">
      <c r="A1" s="174" t="inlineStr">
        <is>
          <t>安装工程费专业分析表</t>
        </is>
      </c>
    </row>
    <row r="2" ht="26.1" customFormat="1" customHeight="1" s="118">
      <c r="A2" s="244" t="inlineStr">
        <is>
          <t>项目名称：{{PROJECT_NAME}}</t>
        </is>
      </c>
      <c r="B2" s="369" t="n"/>
      <c r="C2" s="369" t="n"/>
      <c r="D2" s="369" t="n"/>
      <c r="E2" s="369" t="n"/>
      <c r="F2" s="369" t="n"/>
      <c r="G2" s="369" t="n"/>
      <c r="H2" s="369" t="n"/>
    </row>
    <row r="3" ht="20.1" customFormat="1" customHeight="1" s="118">
      <c r="A3" s="178" t="inlineStr">
        <is>
          <t>序号</t>
        </is>
      </c>
      <c r="B3" s="178" t="inlineStr">
        <is>
          <t>工程或费用名称</t>
        </is>
      </c>
      <c r="C3" s="178" t="inlineStr">
        <is>
          <t>费用
（万元）</t>
        </is>
      </c>
      <c r="D3" s="142" t="inlineStr">
        <is>
          <t>技术经济指标</t>
        </is>
      </c>
      <c r="E3" s="370" t="n"/>
      <c r="F3" s="370" t="n"/>
      <c r="G3" s="370" t="n"/>
      <c r="H3" s="371" t="n"/>
    </row>
    <row r="4" ht="33.95" customFormat="1" customHeight="1" s="118">
      <c r="A4" s="372" t="n"/>
      <c r="B4" s="372" t="n"/>
      <c r="C4" s="372" t="n"/>
      <c r="D4" s="142" t="inlineStr">
        <is>
          <t>单位
（x）</t>
        </is>
      </c>
      <c r="E4" s="142" t="inlineStr">
        <is>
          <t>数量</t>
        </is>
      </c>
      <c r="F4" s="178" t="inlineStr">
        <is>
          <t xml:space="preserve">单方指标
（元/x）           </t>
        </is>
      </c>
      <c r="G4" s="178" t="inlineStr">
        <is>
          <t>计算基数</t>
        </is>
      </c>
      <c r="H4" s="178" t="inlineStr">
        <is>
          <t>指标
说明</t>
        </is>
      </c>
    </row>
    <row r="5" ht="30" customFormat="1" customHeight="1" s="118">
      <c r="A5" s="248" t="n">
        <v>2</v>
      </c>
      <c r="B5" s="249" t="inlineStr">
        <is>
          <t>安装工程费</t>
        </is>
      </c>
      <c r="C5" s="402">
        <f>C6+C14+C22+C31+C40+C49</f>
        <v/>
      </c>
      <c r="D5" s="184" t="inlineStr">
        <is>
          <t>㎡</t>
        </is>
      </c>
      <c r="E5" s="395">
        <f>经济技术指标!$D$5</f>
        <v/>
      </c>
      <c r="F5" s="395">
        <f>C5/E5*10000</f>
        <v/>
      </c>
      <c r="G5" s="251" t="inlineStr">
        <is>
          <t>总建筑面积</t>
        </is>
      </c>
      <c r="H5" s="251" t="n"/>
    </row>
    <row r="6" outlineLevel="1" ht="30" customFormat="1" customHeight="1" s="118">
      <c r="A6" s="252" t="n">
        <v>2.1</v>
      </c>
      <c r="B6" s="403" t="inlineStr">
        <is>
          <t>A区地下室工程</t>
        </is>
      </c>
      <c r="C6" s="404">
        <f>SUM(C7:C12)</f>
        <v/>
      </c>
      <c r="D6" s="189" t="inlineStr">
        <is>
          <t>㎡</t>
        </is>
      </c>
      <c r="E6" s="378">
        <f>经济技术指标!$D$7</f>
        <v/>
      </c>
      <c r="F6" s="378">
        <f>C6/E6*10000</f>
        <v/>
      </c>
      <c r="G6" s="405" t="inlineStr">
        <is>
          <t>单体建筑面积</t>
        </is>
      </c>
      <c r="H6" s="256" t="inlineStr">
        <is>
          <t>单位工程指标</t>
        </is>
      </c>
    </row>
    <row r="7" outlineLevel="2" ht="30" customFormat="1" customHeight="1" s="118">
      <c r="A7" s="257" t="inlineStr">
        <is>
          <t>2.1.1</t>
        </is>
      </c>
      <c r="B7" s="258" t="inlineStr">
        <is>
          <t>电气设备安装工程</t>
        </is>
      </c>
      <c r="C7" s="406" t="n"/>
      <c r="D7" s="170" t="inlineStr">
        <is>
          <t>㎡</t>
        </is>
      </c>
      <c r="E7" s="382">
        <f>经济技术指标!$D$7</f>
        <v/>
      </c>
      <c r="F7" s="382">
        <f>C7/E7*10000</f>
        <v/>
      </c>
      <c r="G7" s="407" t="inlineStr">
        <is>
          <t>单体建筑面积</t>
        </is>
      </c>
      <c r="H7" s="261" t="inlineStr">
        <is>
          <t>专业工程指标</t>
        </is>
      </c>
    </row>
    <row r="8" outlineLevel="2" ht="30" customFormat="1" customHeight="1" s="118">
      <c r="A8" s="257" t="inlineStr">
        <is>
          <t>2.1.2</t>
        </is>
      </c>
      <c r="B8" s="258" t="inlineStr">
        <is>
          <t>建筑智能化工程</t>
        </is>
      </c>
      <c r="C8" s="406" t="n"/>
      <c r="D8" s="170" t="inlineStr">
        <is>
          <t>㎡</t>
        </is>
      </c>
      <c r="E8" s="382">
        <f>经济技术指标!$D$7</f>
        <v/>
      </c>
      <c r="F8" s="382">
        <f>C8/E8*10000</f>
        <v/>
      </c>
      <c r="G8" s="407" t="inlineStr">
        <is>
          <t>单体建筑面积</t>
        </is>
      </c>
      <c r="H8" s="261" t="inlineStr">
        <is>
          <t>专业工程指标</t>
        </is>
      </c>
    </row>
    <row r="9" outlineLevel="2" ht="30" customFormat="1" customHeight="1" s="118">
      <c r="A9" s="257" t="inlineStr">
        <is>
          <t>2.1.3</t>
        </is>
      </c>
      <c r="B9" s="258" t="inlineStr">
        <is>
          <t>通风空调工程</t>
        </is>
      </c>
      <c r="C9" s="406" t="n"/>
      <c r="D9" s="170" t="inlineStr">
        <is>
          <t>㎡</t>
        </is>
      </c>
      <c r="E9" s="382">
        <f>经济技术指标!$D$7</f>
        <v/>
      </c>
      <c r="F9" s="382">
        <f>C9/E9*10000</f>
        <v/>
      </c>
      <c r="G9" s="407" t="inlineStr">
        <is>
          <t>单体建筑面积</t>
        </is>
      </c>
      <c r="H9" s="261" t="inlineStr">
        <is>
          <t>专业工程指标</t>
        </is>
      </c>
    </row>
    <row r="10" outlineLevel="2" ht="30" customFormat="1" customHeight="1" s="118">
      <c r="A10" s="257" t="inlineStr">
        <is>
          <t>2.1.4</t>
        </is>
      </c>
      <c r="B10" s="258" t="inlineStr">
        <is>
          <t>消防工程</t>
        </is>
      </c>
      <c r="C10" s="406" t="n"/>
      <c r="D10" s="170" t="inlineStr">
        <is>
          <t>㎡</t>
        </is>
      </c>
      <c r="E10" s="382">
        <f>经济技术指标!$D$7</f>
        <v/>
      </c>
      <c r="F10" s="382">
        <f>C10/E10*10000</f>
        <v/>
      </c>
      <c r="G10" s="407" t="inlineStr">
        <is>
          <t>单体建筑面积</t>
        </is>
      </c>
      <c r="H10" s="261" t="inlineStr">
        <is>
          <t>专业工程指标</t>
        </is>
      </c>
    </row>
    <row r="11" outlineLevel="2" ht="30" customFormat="1" customHeight="1" s="118">
      <c r="A11" s="257" t="inlineStr">
        <is>
          <t>2.1.5</t>
        </is>
      </c>
      <c r="B11" s="258" t="inlineStr">
        <is>
          <t>给排水采暖工程</t>
        </is>
      </c>
      <c r="C11" s="406" t="n"/>
      <c r="D11" s="170" t="inlineStr">
        <is>
          <t>㎡</t>
        </is>
      </c>
      <c r="E11" s="382">
        <f>经济技术指标!$D$7</f>
        <v/>
      </c>
      <c r="F11" s="382">
        <f>C11/E11*10000</f>
        <v/>
      </c>
      <c r="G11" s="407" t="inlineStr">
        <is>
          <t>单体建筑面积</t>
        </is>
      </c>
      <c r="H11" s="261" t="inlineStr">
        <is>
          <t>专业工程指标</t>
        </is>
      </c>
    </row>
    <row r="12" outlineLevel="2" ht="30" customFormat="1" customHeight="1" s="118">
      <c r="A12" s="257" t="inlineStr">
        <is>
          <t>2.1.6</t>
        </is>
      </c>
      <c r="B12" s="258" t="inlineStr">
        <is>
          <t>电梯工程</t>
        </is>
      </c>
      <c r="C12" s="406" t="n"/>
      <c r="D12" s="170" t="inlineStr">
        <is>
          <t>㎡</t>
        </is>
      </c>
      <c r="E12" s="382">
        <f>经济技术指标!$D$7</f>
        <v/>
      </c>
      <c r="F12" s="382">
        <f>C12/E12*10000</f>
        <v/>
      </c>
      <c r="G12" s="407" t="inlineStr">
        <is>
          <t>单体建筑面积</t>
        </is>
      </c>
      <c r="H12" s="261" t="inlineStr">
        <is>
          <t>专业工程指标</t>
        </is>
      </c>
    </row>
    <row r="13" outlineLevel="2" ht="30" customFormat="1" customHeight="1" s="118">
      <c r="A13" s="257" t="n"/>
      <c r="B13" s="168" t="inlineStr">
        <is>
          <t>……</t>
        </is>
      </c>
      <c r="C13" s="406" t="n"/>
      <c r="D13" s="170" t="n"/>
      <c r="E13" s="408" t="n"/>
      <c r="F13" s="408" t="n"/>
      <c r="G13" s="407" t="n"/>
      <c r="H13" s="261" t="n"/>
    </row>
    <row r="14" outlineLevel="1" ht="30" customFormat="1" customHeight="1" s="243">
      <c r="A14" s="252" t="n">
        <v>2.2</v>
      </c>
      <c r="B14" s="403" t="inlineStr">
        <is>
          <t>B区地下室工程</t>
        </is>
      </c>
      <c r="C14" s="404">
        <f>SUM(C15:C20)</f>
        <v/>
      </c>
      <c r="D14" s="189" t="inlineStr">
        <is>
          <t>㎡</t>
        </is>
      </c>
      <c r="E14" s="378">
        <f>经济技术指标!$D$8</f>
        <v/>
      </c>
      <c r="F14" s="378">
        <f>C14/E14*10000</f>
        <v/>
      </c>
      <c r="G14" s="405" t="inlineStr">
        <is>
          <t>单体建筑面积</t>
        </is>
      </c>
      <c r="H14" s="256" t="inlineStr">
        <is>
          <t>单位工程指标</t>
        </is>
      </c>
    </row>
    <row r="15" outlineLevel="2" ht="30" customFormat="1" customHeight="1" s="118">
      <c r="A15" s="257" t="inlineStr">
        <is>
          <t>2.2.1</t>
        </is>
      </c>
      <c r="B15" s="258" t="inlineStr">
        <is>
          <t>电气设备安装工程</t>
        </is>
      </c>
      <c r="C15" s="406" t="n"/>
      <c r="D15" s="170" t="inlineStr">
        <is>
          <t>㎡</t>
        </is>
      </c>
      <c r="E15" s="382">
        <f>经济技术指标!$D$8</f>
        <v/>
      </c>
      <c r="F15" s="382">
        <f>C15/E15*10000</f>
        <v/>
      </c>
      <c r="G15" s="263" t="inlineStr">
        <is>
          <t>单体建筑面积</t>
        </is>
      </c>
      <c r="H15" s="261" t="inlineStr">
        <is>
          <t>专业工程指标</t>
        </is>
      </c>
    </row>
    <row r="16" outlineLevel="2" ht="30" customFormat="1" customHeight="1" s="118">
      <c r="A16" s="257" t="inlineStr">
        <is>
          <t>2.2.2</t>
        </is>
      </c>
      <c r="B16" s="258" t="inlineStr">
        <is>
          <t>建筑智能化工程</t>
        </is>
      </c>
      <c r="C16" s="406" t="n"/>
      <c r="D16" s="170" t="inlineStr">
        <is>
          <t>㎡</t>
        </is>
      </c>
      <c r="E16" s="382">
        <f>经济技术指标!$D$8</f>
        <v/>
      </c>
      <c r="F16" s="382">
        <f>C16/E16*10000</f>
        <v/>
      </c>
      <c r="G16" s="263" t="inlineStr">
        <is>
          <t>单体建筑面积</t>
        </is>
      </c>
      <c r="H16" s="261" t="inlineStr">
        <is>
          <t>专业工程指标</t>
        </is>
      </c>
    </row>
    <row r="17" outlineLevel="2" ht="30" customFormat="1" customHeight="1" s="118">
      <c r="A17" s="257" t="inlineStr">
        <is>
          <t>2.2.3</t>
        </is>
      </c>
      <c r="B17" s="258" t="inlineStr">
        <is>
          <t>通风空调工程</t>
        </is>
      </c>
      <c r="C17" s="406" t="n"/>
      <c r="D17" s="170" t="inlineStr">
        <is>
          <t>㎡</t>
        </is>
      </c>
      <c r="E17" s="382">
        <f>经济技术指标!$D$8</f>
        <v/>
      </c>
      <c r="F17" s="382">
        <f>C17/E17*10000</f>
        <v/>
      </c>
      <c r="G17" s="263" t="inlineStr">
        <is>
          <t>单体建筑面积</t>
        </is>
      </c>
      <c r="H17" s="261" t="inlineStr">
        <is>
          <t>专业工程指标</t>
        </is>
      </c>
    </row>
    <row r="18" outlineLevel="2" ht="30" customFormat="1" customHeight="1" s="118">
      <c r="A18" s="257" t="inlineStr">
        <is>
          <t>2.2.4</t>
        </is>
      </c>
      <c r="B18" s="258" t="inlineStr">
        <is>
          <t>消防工程</t>
        </is>
      </c>
      <c r="C18" s="406" t="n"/>
      <c r="D18" s="170" t="inlineStr">
        <is>
          <t>㎡</t>
        </is>
      </c>
      <c r="E18" s="382">
        <f>经济技术指标!$D$8</f>
        <v/>
      </c>
      <c r="F18" s="382">
        <f>C18/E18*10000</f>
        <v/>
      </c>
      <c r="G18" s="263" t="inlineStr">
        <is>
          <t>单体建筑面积</t>
        </is>
      </c>
      <c r="H18" s="261" t="inlineStr">
        <is>
          <t>专业工程指标</t>
        </is>
      </c>
    </row>
    <row r="19" outlineLevel="2" ht="30" customFormat="1" customHeight="1" s="118">
      <c r="A19" s="257" t="inlineStr">
        <is>
          <t>2.2.5</t>
        </is>
      </c>
      <c r="B19" s="258" t="inlineStr">
        <is>
          <t>给排水采暖工程</t>
        </is>
      </c>
      <c r="C19" s="406" t="n"/>
      <c r="D19" s="170" t="inlineStr">
        <is>
          <t>㎡</t>
        </is>
      </c>
      <c r="E19" s="382">
        <f>经济技术指标!$D$8</f>
        <v/>
      </c>
      <c r="F19" s="382">
        <f>C19/E19*10000</f>
        <v/>
      </c>
      <c r="G19" s="263" t="inlineStr">
        <is>
          <t>单体建筑面积</t>
        </is>
      </c>
      <c r="H19" s="261" t="inlineStr">
        <is>
          <t>专业工程指标</t>
        </is>
      </c>
    </row>
    <row r="20" outlineLevel="2" ht="30" customFormat="1" customHeight="1" s="118">
      <c r="A20" s="257" t="inlineStr">
        <is>
          <t>2.2.6</t>
        </is>
      </c>
      <c r="B20" s="258" t="inlineStr">
        <is>
          <t>电梯工程</t>
        </is>
      </c>
      <c r="C20" s="406" t="n"/>
      <c r="D20" s="170" t="inlineStr">
        <is>
          <t>㎡</t>
        </is>
      </c>
      <c r="E20" s="382">
        <f>经济技术指标!$D$8</f>
        <v/>
      </c>
      <c r="F20" s="382">
        <f>C20/E20*10000</f>
        <v/>
      </c>
      <c r="G20" s="263" t="inlineStr">
        <is>
          <t>单体建筑面积</t>
        </is>
      </c>
      <c r="H20" s="261" t="inlineStr">
        <is>
          <t>专业工程指标</t>
        </is>
      </c>
    </row>
    <row r="21" outlineLevel="2" ht="30" customFormat="1" customHeight="1" s="118">
      <c r="A21" s="257" t="n"/>
      <c r="B21" s="168" t="inlineStr">
        <is>
          <t>……</t>
        </is>
      </c>
      <c r="C21" s="406" t="n"/>
      <c r="D21" s="170" t="n"/>
      <c r="E21" s="408" t="n"/>
      <c r="F21" s="408" t="n"/>
      <c r="G21" s="263" t="n"/>
      <c r="H21" s="261" t="n"/>
    </row>
    <row r="22" outlineLevel="1" ht="30" customFormat="1" customHeight="1" s="243">
      <c r="A22" s="252" t="n">
        <v>2.3</v>
      </c>
      <c r="B22" s="403" t="inlineStr">
        <is>
          <t>1#楼工程</t>
        </is>
      </c>
      <c r="C22" s="404">
        <f>SUM(C23:C29)</f>
        <v/>
      </c>
      <c r="D22" s="189" t="inlineStr">
        <is>
          <t>㎡</t>
        </is>
      </c>
      <c r="E22" s="378">
        <f>经济技术指标!$D$10</f>
        <v/>
      </c>
      <c r="F22" s="378">
        <f>C22/E22*10000</f>
        <v/>
      </c>
      <c r="G22" s="405" t="inlineStr">
        <is>
          <t>单体建筑面积</t>
        </is>
      </c>
      <c r="H22" s="256" t="inlineStr">
        <is>
          <t>单位工程指标</t>
        </is>
      </c>
    </row>
    <row r="23" outlineLevel="2" ht="30" customFormat="1" customHeight="1" s="118">
      <c r="A23" s="257" t="inlineStr">
        <is>
          <t>2.3.1</t>
        </is>
      </c>
      <c r="B23" s="258" t="inlineStr">
        <is>
          <t>电气设备安装工程</t>
        </is>
      </c>
      <c r="C23" s="406" t="n"/>
      <c r="D23" s="170" t="inlineStr">
        <is>
          <t>㎡</t>
        </is>
      </c>
      <c r="E23" s="382">
        <f>经济技术指标!$D$10</f>
        <v/>
      </c>
      <c r="F23" s="382">
        <f>C23/E23*10000</f>
        <v/>
      </c>
      <c r="G23" s="263" t="inlineStr">
        <is>
          <t>单体建筑面积</t>
        </is>
      </c>
      <c r="H23" s="261" t="inlineStr">
        <is>
          <t>专业工程指标</t>
        </is>
      </c>
    </row>
    <row r="24" outlineLevel="2" ht="30" customFormat="1" customHeight="1" s="118">
      <c r="A24" s="257" t="inlineStr">
        <is>
          <t>2.3.2</t>
        </is>
      </c>
      <c r="B24" s="258" t="inlineStr">
        <is>
          <t>建筑智能化工程</t>
        </is>
      </c>
      <c r="C24" s="406" t="n"/>
      <c r="D24" s="170" t="inlineStr">
        <is>
          <t>㎡</t>
        </is>
      </c>
      <c r="E24" s="382">
        <f>经济技术指标!$D$10</f>
        <v/>
      </c>
      <c r="F24" s="382">
        <f>C24/E24*10000</f>
        <v/>
      </c>
      <c r="G24" s="263" t="inlineStr">
        <is>
          <t>单体建筑面积</t>
        </is>
      </c>
      <c r="H24" s="261" t="inlineStr">
        <is>
          <t>专业工程指标</t>
        </is>
      </c>
    </row>
    <row r="25" outlineLevel="2" ht="30" customFormat="1" customHeight="1" s="118">
      <c r="A25" s="257" t="inlineStr">
        <is>
          <t>2.3.3</t>
        </is>
      </c>
      <c r="B25" s="258" t="inlineStr">
        <is>
          <t>通风空调工程</t>
        </is>
      </c>
      <c r="C25" s="406" t="n"/>
      <c r="D25" s="170" t="inlineStr">
        <is>
          <t>㎡</t>
        </is>
      </c>
      <c r="E25" s="382">
        <f>经济技术指标!$D$10</f>
        <v/>
      </c>
      <c r="F25" s="382">
        <f>C25/E25*10000</f>
        <v/>
      </c>
      <c r="G25" s="263" t="inlineStr">
        <is>
          <t>单体建筑面积</t>
        </is>
      </c>
      <c r="H25" s="261" t="inlineStr">
        <is>
          <t>专业工程指标</t>
        </is>
      </c>
    </row>
    <row r="26" outlineLevel="2" ht="30" customFormat="1" customHeight="1" s="118">
      <c r="A26" s="257" t="inlineStr">
        <is>
          <t>2.3.4</t>
        </is>
      </c>
      <c r="B26" s="258" t="inlineStr">
        <is>
          <t>消防工程</t>
        </is>
      </c>
      <c r="C26" s="406" t="n"/>
      <c r="D26" s="170" t="inlineStr">
        <is>
          <t>㎡</t>
        </is>
      </c>
      <c r="E26" s="382">
        <f>经济技术指标!$D$10</f>
        <v/>
      </c>
      <c r="F26" s="382">
        <f>C26/E26*10000</f>
        <v/>
      </c>
      <c r="G26" s="263" t="inlineStr">
        <is>
          <t>单体建筑面积</t>
        </is>
      </c>
      <c r="H26" s="261" t="inlineStr">
        <is>
          <t>专业工程指标</t>
        </is>
      </c>
    </row>
    <row r="27" outlineLevel="2" ht="30" customFormat="1" customHeight="1" s="118">
      <c r="A27" s="257" t="inlineStr">
        <is>
          <t>2.3.5</t>
        </is>
      </c>
      <c r="B27" s="258" t="inlineStr">
        <is>
          <t>给排水采暖工程</t>
        </is>
      </c>
      <c r="C27" s="406" t="n"/>
      <c r="D27" s="170" t="inlineStr">
        <is>
          <t>㎡</t>
        </is>
      </c>
      <c r="E27" s="382">
        <f>经济技术指标!$D$10</f>
        <v/>
      </c>
      <c r="F27" s="382">
        <f>C27/E27*10000</f>
        <v/>
      </c>
      <c r="G27" s="263" t="inlineStr">
        <is>
          <t>单体建筑面积</t>
        </is>
      </c>
      <c r="H27" s="261" t="inlineStr">
        <is>
          <t>专业工程指标</t>
        </is>
      </c>
    </row>
    <row r="28" outlineLevel="2" ht="30" customFormat="1" customHeight="1" s="118">
      <c r="A28" s="257" t="inlineStr">
        <is>
          <t>2.3.6</t>
        </is>
      </c>
      <c r="B28" s="258" t="inlineStr">
        <is>
          <t>楼宇亮化工程</t>
        </is>
      </c>
      <c r="C28" s="406" t="n"/>
      <c r="D28" s="170" t="inlineStr">
        <is>
          <t>㎡</t>
        </is>
      </c>
      <c r="E28" s="382">
        <f>经济技术指标!$D$10</f>
        <v/>
      </c>
      <c r="F28" s="382">
        <f>C28/E28*10000</f>
        <v/>
      </c>
      <c r="G28" s="263" t="inlineStr">
        <is>
          <t>单体建筑面积</t>
        </is>
      </c>
      <c r="H28" s="261" t="inlineStr">
        <is>
          <t>专业工程指标</t>
        </is>
      </c>
    </row>
    <row r="29" outlineLevel="2" ht="30" customFormat="1" customHeight="1" s="118">
      <c r="A29" s="257" t="inlineStr">
        <is>
          <t>2.3.7</t>
        </is>
      </c>
      <c r="B29" s="258" t="inlineStr">
        <is>
          <t>电梯工程</t>
        </is>
      </c>
      <c r="C29" s="406" t="n"/>
      <c r="D29" s="170" t="inlineStr">
        <is>
          <t>㎡</t>
        </is>
      </c>
      <c r="E29" s="382">
        <f>经济技术指标!$D$10</f>
        <v/>
      </c>
      <c r="F29" s="382">
        <f>C29/E29*10000</f>
        <v/>
      </c>
      <c r="G29" s="263" t="inlineStr">
        <is>
          <t>单体建筑面积</t>
        </is>
      </c>
      <c r="H29" s="261" t="inlineStr">
        <is>
          <t>专业工程指标</t>
        </is>
      </c>
    </row>
    <row r="30" outlineLevel="2" ht="30" customFormat="1" customHeight="1" s="118">
      <c r="A30" s="257" t="n"/>
      <c r="B30" s="168" t="inlineStr">
        <is>
          <t>……</t>
        </is>
      </c>
      <c r="C30" s="406" t="n"/>
      <c r="D30" s="170" t="n"/>
      <c r="E30" s="408" t="n"/>
      <c r="F30" s="408" t="n"/>
      <c r="G30" s="263" t="n"/>
      <c r="H30" s="261" t="n"/>
    </row>
    <row r="31" outlineLevel="1" ht="30" customFormat="1" customHeight="1" s="243">
      <c r="A31" s="252" t="n">
        <v>2.4</v>
      </c>
      <c r="B31" s="403" t="inlineStr">
        <is>
          <t>2#楼工程</t>
        </is>
      </c>
      <c r="C31" s="404">
        <f>SUM(C32:C38)</f>
        <v/>
      </c>
      <c r="D31" s="189" t="inlineStr">
        <is>
          <t>㎡</t>
        </is>
      </c>
      <c r="E31" s="378">
        <f>经济技术指标!$D$11</f>
        <v/>
      </c>
      <c r="F31" s="378">
        <f>C31/E31*10000</f>
        <v/>
      </c>
      <c r="G31" s="405" t="inlineStr">
        <is>
          <t>单体建筑面积</t>
        </is>
      </c>
      <c r="H31" s="256" t="inlineStr">
        <is>
          <t>单位工程指标</t>
        </is>
      </c>
    </row>
    <row r="32" outlineLevel="2" ht="30" customFormat="1" customHeight="1" s="118">
      <c r="A32" s="257" t="inlineStr">
        <is>
          <t>2.4.1</t>
        </is>
      </c>
      <c r="B32" s="258" t="inlineStr">
        <is>
          <t>电气设备安装工程</t>
        </is>
      </c>
      <c r="C32" s="406" t="n"/>
      <c r="D32" s="170" t="inlineStr">
        <is>
          <t>㎡</t>
        </is>
      </c>
      <c r="E32" s="382">
        <f>经济技术指标!$D$11</f>
        <v/>
      </c>
      <c r="F32" s="382">
        <f>C32/E32*10000</f>
        <v/>
      </c>
      <c r="G32" s="263" t="inlineStr">
        <is>
          <t>单体建筑面积</t>
        </is>
      </c>
      <c r="H32" s="261" t="inlineStr">
        <is>
          <t>专业工程指标</t>
        </is>
      </c>
    </row>
    <row r="33" outlineLevel="2" ht="30" customFormat="1" customHeight="1" s="118">
      <c r="A33" s="257" t="inlineStr">
        <is>
          <t>2.4.2</t>
        </is>
      </c>
      <c r="B33" s="258" t="inlineStr">
        <is>
          <t>建筑智能化工程</t>
        </is>
      </c>
      <c r="C33" s="406" t="n"/>
      <c r="D33" s="170" t="inlineStr">
        <is>
          <t>㎡</t>
        </is>
      </c>
      <c r="E33" s="382">
        <f>经济技术指标!$D$11</f>
        <v/>
      </c>
      <c r="F33" s="382">
        <f>C33/E33*10000</f>
        <v/>
      </c>
      <c r="G33" s="263" t="inlineStr">
        <is>
          <t>单体建筑面积</t>
        </is>
      </c>
      <c r="H33" s="261" t="inlineStr">
        <is>
          <t>专业工程指标</t>
        </is>
      </c>
    </row>
    <row r="34" outlineLevel="2" ht="30" customFormat="1" customHeight="1" s="118">
      <c r="A34" s="257" t="inlineStr">
        <is>
          <t>2.4.3</t>
        </is>
      </c>
      <c r="B34" s="258" t="inlineStr">
        <is>
          <t>通风空调工程</t>
        </is>
      </c>
      <c r="C34" s="406" t="n"/>
      <c r="D34" s="170" t="inlineStr">
        <is>
          <t>㎡</t>
        </is>
      </c>
      <c r="E34" s="382">
        <f>经济技术指标!$D$11</f>
        <v/>
      </c>
      <c r="F34" s="382">
        <f>C34/E34*10000</f>
        <v/>
      </c>
      <c r="G34" s="263" t="inlineStr">
        <is>
          <t>单体建筑面积</t>
        </is>
      </c>
      <c r="H34" s="261" t="inlineStr">
        <is>
          <t>专业工程指标</t>
        </is>
      </c>
    </row>
    <row r="35" outlineLevel="2" ht="30" customFormat="1" customHeight="1" s="118">
      <c r="A35" s="257" t="inlineStr">
        <is>
          <t>2.4.4</t>
        </is>
      </c>
      <c r="B35" s="258" t="inlineStr">
        <is>
          <t>消防工程</t>
        </is>
      </c>
      <c r="C35" s="406" t="n"/>
      <c r="D35" s="170" t="inlineStr">
        <is>
          <t>㎡</t>
        </is>
      </c>
      <c r="E35" s="382">
        <f>经济技术指标!$D$11</f>
        <v/>
      </c>
      <c r="F35" s="382">
        <f>C35/E35*10000</f>
        <v/>
      </c>
      <c r="G35" s="263" t="inlineStr">
        <is>
          <t>单体建筑面积</t>
        </is>
      </c>
      <c r="H35" s="261" t="inlineStr">
        <is>
          <t>专业工程指标</t>
        </is>
      </c>
    </row>
    <row r="36" outlineLevel="2" ht="30" customFormat="1" customHeight="1" s="118">
      <c r="A36" s="257" t="inlineStr">
        <is>
          <t>2.4.5</t>
        </is>
      </c>
      <c r="B36" s="258" t="inlineStr">
        <is>
          <t>给排水采暖工程</t>
        </is>
      </c>
      <c r="C36" s="406" t="n"/>
      <c r="D36" s="170" t="inlineStr">
        <is>
          <t>㎡</t>
        </is>
      </c>
      <c r="E36" s="382">
        <f>经济技术指标!$D$11</f>
        <v/>
      </c>
      <c r="F36" s="382">
        <f>C36/E36*10000</f>
        <v/>
      </c>
      <c r="G36" s="407" t="inlineStr">
        <is>
          <t>地下建筑面积</t>
        </is>
      </c>
      <c r="H36" s="261" t="inlineStr">
        <is>
          <t>专业工程指标</t>
        </is>
      </c>
    </row>
    <row r="37" outlineLevel="2" ht="30" customFormat="1" customHeight="1" s="118">
      <c r="A37" s="257" t="inlineStr">
        <is>
          <t>2.4.6</t>
        </is>
      </c>
      <c r="B37" s="258" t="inlineStr">
        <is>
          <t>楼宇亮化工程</t>
        </is>
      </c>
      <c r="C37" s="406" t="n"/>
      <c r="D37" s="170" t="inlineStr">
        <is>
          <t>㎡</t>
        </is>
      </c>
      <c r="E37" s="382">
        <f>经济技术指标!$D$11</f>
        <v/>
      </c>
      <c r="F37" s="382">
        <f>C37/E37*10000</f>
        <v/>
      </c>
      <c r="G37" s="263" t="inlineStr">
        <is>
          <t>单体建筑面积</t>
        </is>
      </c>
      <c r="H37" s="261" t="inlineStr">
        <is>
          <t>专业工程指标</t>
        </is>
      </c>
    </row>
    <row r="38" outlineLevel="2" ht="30" customFormat="1" customHeight="1" s="118">
      <c r="A38" s="257" t="inlineStr">
        <is>
          <t>2.4.7</t>
        </is>
      </c>
      <c r="B38" s="258" t="inlineStr">
        <is>
          <t>电梯工程</t>
        </is>
      </c>
      <c r="C38" s="406" t="n"/>
      <c r="D38" s="170" t="inlineStr">
        <is>
          <t>㎡</t>
        </is>
      </c>
      <c r="E38" s="382">
        <f>经济技术指标!$D$11</f>
        <v/>
      </c>
      <c r="F38" s="382">
        <f>C38/E38*10000</f>
        <v/>
      </c>
      <c r="G38" s="263" t="inlineStr">
        <is>
          <t>单体建筑面积</t>
        </is>
      </c>
      <c r="H38" s="261" t="inlineStr">
        <is>
          <t>专业工程指标</t>
        </is>
      </c>
    </row>
    <row r="39" outlineLevel="2" ht="30" customFormat="1" customHeight="1" s="118">
      <c r="A39" s="257" t="n"/>
      <c r="B39" s="168" t="inlineStr">
        <is>
          <t>……</t>
        </is>
      </c>
      <c r="C39" s="406" t="n"/>
      <c r="D39" s="170" t="n"/>
      <c r="E39" s="408" t="n"/>
      <c r="F39" s="408" t="n"/>
      <c r="G39" s="263" t="n"/>
      <c r="H39" s="261" t="n"/>
    </row>
    <row r="40" outlineLevel="1" ht="30" customFormat="1" customHeight="1" s="243">
      <c r="A40" s="252" t="n">
        <v>2.5</v>
      </c>
      <c r="B40" s="403" t="inlineStr">
        <is>
          <t>3#楼工程</t>
        </is>
      </c>
      <c r="C40" s="404">
        <f>SUM(C41:C47)</f>
        <v/>
      </c>
      <c r="D40" s="189" t="inlineStr">
        <is>
          <t>㎡</t>
        </is>
      </c>
      <c r="E40" s="378">
        <f>经济技术指标!$D$12</f>
        <v/>
      </c>
      <c r="F40" s="378">
        <f>C40/E40*10000</f>
        <v/>
      </c>
      <c r="G40" s="405" t="inlineStr">
        <is>
          <t>单体建筑面积</t>
        </is>
      </c>
      <c r="H40" s="256" t="inlineStr">
        <is>
          <t>单位工程指标</t>
        </is>
      </c>
    </row>
    <row r="41" outlineLevel="2" ht="30" customFormat="1" customHeight="1" s="118">
      <c r="A41" s="257" t="inlineStr">
        <is>
          <t>2.5.1</t>
        </is>
      </c>
      <c r="B41" s="258" t="inlineStr">
        <is>
          <t>电气设备安装工程</t>
        </is>
      </c>
      <c r="C41" s="406" t="n"/>
      <c r="D41" s="170" t="inlineStr">
        <is>
          <t>㎡</t>
        </is>
      </c>
      <c r="E41" s="382">
        <f>经济技术指标!$D$12</f>
        <v/>
      </c>
      <c r="F41" s="382">
        <f>C41/E41*10000</f>
        <v/>
      </c>
      <c r="G41" s="263" t="inlineStr">
        <is>
          <t>单体建筑面积</t>
        </is>
      </c>
      <c r="H41" s="261" t="inlineStr">
        <is>
          <t>专业工程指标</t>
        </is>
      </c>
    </row>
    <row r="42" outlineLevel="2" ht="30" customFormat="1" customHeight="1" s="118">
      <c r="A42" s="257" t="inlineStr">
        <is>
          <t>2.5.2</t>
        </is>
      </c>
      <c r="B42" s="258" t="inlineStr">
        <is>
          <t>建筑智能化工程</t>
        </is>
      </c>
      <c r="C42" s="406" t="n"/>
      <c r="D42" s="170" t="inlineStr">
        <is>
          <t>㎡</t>
        </is>
      </c>
      <c r="E42" s="382">
        <f>经济技术指标!$D$12</f>
        <v/>
      </c>
      <c r="F42" s="382">
        <f>C42/E42*10000</f>
        <v/>
      </c>
      <c r="G42" s="263" t="inlineStr">
        <is>
          <t>单体建筑面积</t>
        </is>
      </c>
      <c r="H42" s="261" t="inlineStr">
        <is>
          <t>专业工程指标</t>
        </is>
      </c>
    </row>
    <row r="43" outlineLevel="2" ht="30" customFormat="1" customHeight="1" s="118">
      <c r="A43" s="257" t="inlineStr">
        <is>
          <t>2.5.3</t>
        </is>
      </c>
      <c r="B43" s="258" t="inlineStr">
        <is>
          <t>通风空调工程</t>
        </is>
      </c>
      <c r="C43" s="406" t="n"/>
      <c r="D43" s="170" t="inlineStr">
        <is>
          <t>㎡</t>
        </is>
      </c>
      <c r="E43" s="382">
        <f>经济技术指标!$D$12</f>
        <v/>
      </c>
      <c r="F43" s="382">
        <f>C43/E43*10000</f>
        <v/>
      </c>
      <c r="G43" s="263" t="inlineStr">
        <is>
          <t>单体建筑面积</t>
        </is>
      </c>
      <c r="H43" s="261" t="inlineStr">
        <is>
          <t>专业工程指标</t>
        </is>
      </c>
    </row>
    <row r="44" outlineLevel="2" ht="30" customFormat="1" customHeight="1" s="118">
      <c r="A44" s="257" t="inlineStr">
        <is>
          <t>2.5.4</t>
        </is>
      </c>
      <c r="B44" s="258" t="inlineStr">
        <is>
          <t>消防工程</t>
        </is>
      </c>
      <c r="C44" s="406" t="n"/>
      <c r="D44" s="170" t="inlineStr">
        <is>
          <t>㎡</t>
        </is>
      </c>
      <c r="E44" s="382">
        <f>经济技术指标!$D$12</f>
        <v/>
      </c>
      <c r="F44" s="382">
        <f>C44/E44*10000</f>
        <v/>
      </c>
      <c r="G44" s="263" t="inlineStr">
        <is>
          <t>单体建筑面积</t>
        </is>
      </c>
      <c r="H44" s="261" t="inlineStr">
        <is>
          <t>专业工程指标</t>
        </is>
      </c>
    </row>
    <row r="45" outlineLevel="2" ht="30" customFormat="1" customHeight="1" s="118">
      <c r="A45" s="257" t="inlineStr">
        <is>
          <t>2.5.5</t>
        </is>
      </c>
      <c r="B45" s="258" t="inlineStr">
        <is>
          <t>给排水采暖工程</t>
        </is>
      </c>
      <c r="C45" s="406" t="n"/>
      <c r="D45" s="170" t="inlineStr">
        <is>
          <t>㎡</t>
        </is>
      </c>
      <c r="E45" s="382">
        <f>经济技术指标!$D$12</f>
        <v/>
      </c>
      <c r="F45" s="382">
        <f>C45/E45*10000</f>
        <v/>
      </c>
      <c r="G45" s="407" t="inlineStr">
        <is>
          <t>地下建筑面积</t>
        </is>
      </c>
      <c r="H45" s="261" t="inlineStr">
        <is>
          <t>专业工程指标</t>
        </is>
      </c>
    </row>
    <row r="46" outlineLevel="2" ht="30" customFormat="1" customHeight="1" s="118">
      <c r="A46" s="257" t="inlineStr">
        <is>
          <t>2.5.6</t>
        </is>
      </c>
      <c r="B46" s="258" t="inlineStr">
        <is>
          <t>楼宇亮化工程</t>
        </is>
      </c>
      <c r="C46" s="406" t="n"/>
      <c r="D46" s="170" t="inlineStr">
        <is>
          <t>㎡</t>
        </is>
      </c>
      <c r="E46" s="382">
        <f>经济技术指标!$D$12</f>
        <v/>
      </c>
      <c r="F46" s="382">
        <f>C46/E46*10000</f>
        <v/>
      </c>
      <c r="G46" s="263" t="inlineStr">
        <is>
          <t>单体建筑面积</t>
        </is>
      </c>
      <c r="H46" s="261" t="inlineStr">
        <is>
          <t>专业工程指标</t>
        </is>
      </c>
    </row>
    <row r="47" outlineLevel="2" ht="30" customFormat="1" customHeight="1" s="368">
      <c r="A47" s="257" t="inlineStr">
        <is>
          <t>2.5.7</t>
        </is>
      </c>
      <c r="B47" s="258" t="inlineStr">
        <is>
          <t>电梯工程</t>
        </is>
      </c>
      <c r="C47" s="406" t="n"/>
      <c r="D47" s="170" t="inlineStr">
        <is>
          <t>台</t>
        </is>
      </c>
      <c r="E47" s="382">
        <f>经济技术指标!$D$12</f>
        <v/>
      </c>
      <c r="F47" s="382">
        <f>C47/E47*10000</f>
        <v/>
      </c>
      <c r="G47" s="263" t="inlineStr">
        <is>
          <t>单体建筑面积</t>
        </is>
      </c>
      <c r="H47" s="261" t="inlineStr">
        <is>
          <t>专业工程指标</t>
        </is>
      </c>
    </row>
    <row r="48" outlineLevel="2" ht="30" customFormat="1" customHeight="1" s="368">
      <c r="A48" s="257" t="n"/>
      <c r="B48" s="168" t="inlineStr">
        <is>
          <t>……</t>
        </is>
      </c>
      <c r="C48" s="406" t="n"/>
      <c r="D48" s="170" t="n"/>
      <c r="E48" s="408" t="n"/>
      <c r="F48" s="408" t="n"/>
      <c r="G48" s="263" t="n"/>
      <c r="H48" s="261" t="n"/>
    </row>
    <row r="49" outlineLevel="1" ht="30" customFormat="1" customHeight="1" s="243">
      <c r="A49" s="252" t="n">
        <v>2.6</v>
      </c>
      <c r="B49" s="403" t="inlineStr">
        <is>
          <t>构筑物（***）工程</t>
        </is>
      </c>
      <c r="C49" s="404">
        <f>SUM(C50:C54)</f>
        <v/>
      </c>
      <c r="D49" s="189" t="inlineStr">
        <is>
          <t>㎡</t>
        </is>
      </c>
      <c r="E49" s="378">
        <f>经济技术指标!$D$13</f>
        <v/>
      </c>
      <c r="F49" s="378">
        <f>C49/E49*10000</f>
        <v/>
      </c>
      <c r="G49" s="405" t="inlineStr">
        <is>
          <t>单体建筑面积</t>
        </is>
      </c>
      <c r="H49" s="256" t="inlineStr">
        <is>
          <t>单位工程指标</t>
        </is>
      </c>
    </row>
    <row r="50" outlineLevel="2" ht="30" customFormat="1" customHeight="1" s="118">
      <c r="A50" s="257" t="inlineStr">
        <is>
          <t>2.6.1</t>
        </is>
      </c>
      <c r="B50" s="258" t="inlineStr">
        <is>
          <t>电气设备安装工程</t>
        </is>
      </c>
      <c r="C50" s="406" t="n"/>
      <c r="D50" s="264" t="inlineStr">
        <is>
          <t>㎡</t>
        </is>
      </c>
      <c r="E50" s="409">
        <f>经济技术指标!$D$13</f>
        <v/>
      </c>
      <c r="F50" s="382">
        <f>C50/E50*10000</f>
        <v/>
      </c>
      <c r="G50" s="263" t="inlineStr">
        <is>
          <t>单体建筑面积</t>
        </is>
      </c>
      <c r="H50" s="261" t="inlineStr">
        <is>
          <t>专业工程指标</t>
        </is>
      </c>
    </row>
    <row r="51" outlineLevel="2" ht="30" customFormat="1" customHeight="1" s="118">
      <c r="A51" s="257" t="inlineStr">
        <is>
          <t>2.6.2</t>
        </is>
      </c>
      <c r="B51" s="258" t="inlineStr">
        <is>
          <t>建筑智能化工程</t>
        </is>
      </c>
      <c r="C51" s="406" t="n"/>
      <c r="D51" s="264" t="inlineStr">
        <is>
          <t>㎡</t>
        </is>
      </c>
      <c r="E51" s="409">
        <f>经济技术指标!$D$13</f>
        <v/>
      </c>
      <c r="F51" s="382">
        <f>C51/E51*10000</f>
        <v/>
      </c>
      <c r="G51" s="263" t="inlineStr">
        <is>
          <t>单体建筑面积</t>
        </is>
      </c>
      <c r="H51" s="261" t="inlineStr">
        <is>
          <t>专业工程指标</t>
        </is>
      </c>
    </row>
    <row r="52" outlineLevel="2" ht="30" customFormat="1" customHeight="1" s="118">
      <c r="A52" s="257" t="inlineStr">
        <is>
          <t>2.6.3</t>
        </is>
      </c>
      <c r="B52" s="258" t="inlineStr">
        <is>
          <t>通风空调工程</t>
        </is>
      </c>
      <c r="C52" s="406" t="n"/>
      <c r="D52" s="264" t="inlineStr">
        <is>
          <t>㎡</t>
        </is>
      </c>
      <c r="E52" s="409">
        <f>经济技术指标!$D$13</f>
        <v/>
      </c>
      <c r="F52" s="382">
        <f>C52/E52*10000</f>
        <v/>
      </c>
      <c r="G52" s="263" t="inlineStr">
        <is>
          <t>单体建筑面积</t>
        </is>
      </c>
      <c r="H52" s="261" t="inlineStr">
        <is>
          <t>专业工程指标</t>
        </is>
      </c>
    </row>
    <row r="53" outlineLevel="2" ht="30" customFormat="1" customHeight="1" s="118">
      <c r="A53" s="257" t="inlineStr">
        <is>
          <t>2.6.4</t>
        </is>
      </c>
      <c r="B53" s="258" t="inlineStr">
        <is>
          <t>消防工程</t>
        </is>
      </c>
      <c r="C53" s="406" t="n"/>
      <c r="D53" s="264" t="inlineStr">
        <is>
          <t>㎡</t>
        </is>
      </c>
      <c r="E53" s="409">
        <f>经济技术指标!$D$13</f>
        <v/>
      </c>
      <c r="F53" s="382">
        <f>C53/E53*10000</f>
        <v/>
      </c>
      <c r="G53" s="263" t="inlineStr">
        <is>
          <t>单体建筑面积</t>
        </is>
      </c>
      <c r="H53" s="261" t="inlineStr">
        <is>
          <t>专业工程指标</t>
        </is>
      </c>
    </row>
    <row r="54" outlineLevel="2" ht="30" customFormat="1" customHeight="1" s="368">
      <c r="A54" s="257" t="inlineStr">
        <is>
          <t>2.6.5</t>
        </is>
      </c>
      <c r="B54" s="258" t="inlineStr">
        <is>
          <t>给排水采暖工程</t>
        </is>
      </c>
      <c r="C54" s="406" t="n"/>
      <c r="D54" s="264" t="inlineStr">
        <is>
          <t>㎡</t>
        </is>
      </c>
      <c r="E54" s="409">
        <f>经济技术指标!$D$13</f>
        <v/>
      </c>
      <c r="F54" s="382">
        <f>C54/E54*10000</f>
        <v/>
      </c>
      <c r="G54" s="263" t="inlineStr">
        <is>
          <t>单体建筑面积</t>
        </is>
      </c>
      <c r="H54" s="261" t="inlineStr">
        <is>
          <t>专业工程指标</t>
        </is>
      </c>
    </row>
    <row r="55" outlineLevel="2" ht="30" customFormat="1" customHeight="1" s="368">
      <c r="A55" s="266" t="n"/>
      <c r="B55" s="258" t="inlineStr">
        <is>
          <t>……</t>
        </is>
      </c>
      <c r="C55" s="406" t="n"/>
      <c r="D55" s="264" t="n"/>
      <c r="E55" s="410" t="n"/>
      <c r="F55" s="408" t="n"/>
      <c r="G55" s="263" t="n"/>
      <c r="H55" s="261" t="n"/>
    </row>
  </sheetData>
  <mergeCells count="6">
    <mergeCell ref="C3:C4"/>
    <mergeCell ref="A2:H2"/>
    <mergeCell ref="A3:A4"/>
    <mergeCell ref="B3:B4"/>
    <mergeCell ref="A1:H1"/>
    <mergeCell ref="D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L53"/>
  <sheetViews>
    <sheetView zoomScale="145" zoomScaleNormal="145" workbookViewId="0">
      <pane ySplit="4" topLeftCell="A29" activePane="bottomLeft" state="frozen"/>
      <selection activeCell="A1" sqref="A1"/>
      <selection pane="bottomLeft" activeCell="D29" sqref="D29"/>
    </sheetView>
  </sheetViews>
  <sheetFormatPr baseColWidth="8" defaultColWidth="9" defaultRowHeight="11.25"/>
  <cols>
    <col width="6" customWidth="1" style="204" min="1" max="1"/>
    <col width="25.625" customWidth="1" style="202" min="2" max="2"/>
    <col width="14.625" customWidth="1" style="411" min="3" max="3"/>
    <col width="7.375" customWidth="1" style="202" min="4" max="4"/>
    <col width="7.25" customWidth="1" style="202" min="5" max="5"/>
    <col width="7.875" customWidth="1" style="206" min="6" max="6"/>
    <col width="11.75" customWidth="1" style="202" min="7" max="7"/>
    <col width="7.575" customWidth="1" style="206" min="8" max="8"/>
    <col width="11.5083333333333" customWidth="1" style="202" min="9" max="9"/>
    <col width="9" customWidth="1" style="202" min="10" max="246"/>
    <col width="9" customWidth="1" style="412" min="247" max="16384"/>
  </cols>
  <sheetData>
    <row r="1" ht="32.1" customFormat="1" customHeight="1" s="202">
      <c r="A1" s="207" t="inlineStr">
        <is>
          <t>专项工程费分析表</t>
        </is>
      </c>
    </row>
    <row r="2" ht="26.1" customFormat="1" customHeight="1" s="202">
      <c r="A2" s="209" t="inlineStr">
        <is>
          <t>项目名称：{{PROJECT_NAME}}</t>
        </is>
      </c>
      <c r="B2" s="369" t="n"/>
      <c r="C2" s="369" t="n"/>
      <c r="D2" s="369" t="n"/>
      <c r="E2" s="369" t="n"/>
      <c r="F2" s="369" t="n"/>
      <c r="G2" s="369" t="n"/>
      <c r="H2" s="369" t="n"/>
    </row>
    <row r="3" ht="20.1" customFormat="1" customHeight="1" s="202">
      <c r="A3" s="212" t="inlineStr">
        <is>
          <t>序号</t>
        </is>
      </c>
      <c r="B3" s="212" t="inlineStr">
        <is>
          <t>工程或费用名称</t>
        </is>
      </c>
      <c r="C3" s="413" t="inlineStr">
        <is>
          <t>费用（万元）</t>
        </is>
      </c>
      <c r="D3" s="215" t="inlineStr">
        <is>
          <t>技术经济指标</t>
        </is>
      </c>
      <c r="E3" s="370" t="n"/>
      <c r="F3" s="370" t="n"/>
      <c r="G3" s="370" t="n"/>
      <c r="H3" s="371" t="n"/>
    </row>
    <row r="4" ht="33.95" customFormat="1" customHeight="1" s="202">
      <c r="A4" s="372" t="n"/>
      <c r="B4" s="372" t="n"/>
      <c r="C4" s="372" t="n"/>
      <c r="D4" s="215" t="inlineStr">
        <is>
          <t>单位
（x）</t>
        </is>
      </c>
      <c r="E4" s="215" t="inlineStr">
        <is>
          <t>数量</t>
        </is>
      </c>
      <c r="F4" s="212" t="inlineStr">
        <is>
          <t xml:space="preserve">单方指标
（元/x）           </t>
        </is>
      </c>
      <c r="G4" s="212" t="inlineStr">
        <is>
          <t>计算基数</t>
        </is>
      </c>
      <c r="H4" s="212" t="inlineStr">
        <is>
          <t>指标说明</t>
        </is>
      </c>
    </row>
    <row r="5" ht="25" customFormat="1" customHeight="1" s="202">
      <c r="A5" s="218" t="n">
        <v>3</v>
      </c>
      <c r="B5" s="219" t="inlineStr">
        <is>
          <t>专项工程费</t>
        </is>
      </c>
      <c r="C5" s="414">
        <f>C6+C19+C29+C35+C42+C46+C47+C48+C49</f>
        <v/>
      </c>
      <c r="D5" s="221" t="inlineStr">
        <is>
          <t>㎡</t>
        </is>
      </c>
      <c r="E5" s="415">
        <f>经济技术指标!$D$5</f>
        <v/>
      </c>
      <c r="F5" s="415">
        <f>C5/E5*10000</f>
        <v/>
      </c>
      <c r="G5" s="223" t="inlineStr">
        <is>
          <t>总建筑面积</t>
        </is>
      </c>
      <c r="H5" s="221" t="n"/>
    </row>
    <row r="6" collapsed="1" ht="25" customFormat="1" customHeight="1" s="202">
      <c r="A6" s="224" t="n">
        <v>3.1</v>
      </c>
      <c r="B6" s="224" t="inlineStr">
        <is>
          <t>设备专项工程</t>
        </is>
      </c>
      <c r="C6" s="416">
        <f>SUM(C7:C18)</f>
        <v/>
      </c>
      <c r="D6" s="226" t="inlineStr">
        <is>
          <t>㎡</t>
        </is>
      </c>
      <c r="E6" s="417">
        <f>经济技术指标!$D$5</f>
        <v/>
      </c>
      <c r="F6" s="417">
        <f>C6/E6*10000</f>
        <v/>
      </c>
      <c r="G6" s="228" t="inlineStr">
        <is>
          <t>总建筑面积</t>
        </is>
      </c>
      <c r="H6" s="226" t="inlineStr">
        <is>
          <t>专业工程指标</t>
        </is>
      </c>
    </row>
    <row r="7" hidden="1" outlineLevel="1" ht="25" customFormat="1" customHeight="1" s="202">
      <c r="A7" s="229" t="inlineStr">
        <is>
          <t>3.3.1</t>
        </is>
      </c>
      <c r="B7" s="230" t="inlineStr">
        <is>
          <t>柴油发电机组设备工程</t>
        </is>
      </c>
      <c r="C7" s="418" t="n"/>
      <c r="D7" s="232" t="inlineStr">
        <is>
          <t>KW</t>
        </is>
      </c>
      <c r="E7" s="419" t="n"/>
      <c r="F7" s="382">
        <f>C7/E7*10000</f>
        <v/>
      </c>
      <c r="G7" s="234" t="inlineStr">
        <is>
          <t>发电功率</t>
        </is>
      </c>
      <c r="H7" s="232" t="inlineStr">
        <is>
          <t>专业工程指标</t>
        </is>
      </c>
    </row>
    <row r="8" hidden="1" outlineLevel="1" ht="25" customFormat="1" customHeight="1" s="202">
      <c r="A8" s="229" t="inlineStr">
        <is>
          <t>3.3.2</t>
        </is>
      </c>
      <c r="B8" s="230" t="inlineStr">
        <is>
          <t>机械停车设备工程</t>
        </is>
      </c>
      <c r="C8" s="418" t="n"/>
      <c r="D8" s="232" t="inlineStr">
        <is>
          <t>车位</t>
        </is>
      </c>
      <c r="E8" s="419" t="n"/>
      <c r="F8" s="382">
        <f>C8/E8*10000</f>
        <v/>
      </c>
      <c r="G8" s="234" t="inlineStr">
        <is>
          <t>标准停车数量</t>
        </is>
      </c>
      <c r="H8" s="232" t="inlineStr">
        <is>
          <t>专业工程指标</t>
        </is>
      </c>
    </row>
    <row r="9" hidden="1" outlineLevel="1" ht="25" customFormat="1" customHeight="1" s="202">
      <c r="A9" s="229" t="inlineStr">
        <is>
          <t>3.3.3</t>
        </is>
      </c>
      <c r="B9" s="230" t="inlineStr">
        <is>
          <t>充电桩设备工程</t>
        </is>
      </c>
      <c r="C9" s="418" t="n"/>
      <c r="D9" s="232" t="inlineStr">
        <is>
          <t>个</t>
        </is>
      </c>
      <c r="E9" s="419" t="n"/>
      <c r="F9" s="382">
        <f>C9/E9*10000</f>
        <v/>
      </c>
      <c r="G9" s="234" t="inlineStr">
        <is>
          <t>设备数量</t>
        </is>
      </c>
      <c r="H9" s="232" t="inlineStr">
        <is>
          <t>专业工程指标</t>
        </is>
      </c>
    </row>
    <row r="10" hidden="1" outlineLevel="1" ht="25" customFormat="1" customHeight="1" s="202">
      <c r="A10" s="229" t="inlineStr">
        <is>
          <t>3.3.4</t>
        </is>
      </c>
      <c r="B10" s="230" t="inlineStr">
        <is>
          <t>太阳能光伏发电工程</t>
        </is>
      </c>
      <c r="C10" s="418" t="n"/>
      <c r="D10" s="232" t="inlineStr">
        <is>
          <t>kWp</t>
        </is>
      </c>
      <c r="E10" s="419" t="n"/>
      <c r="F10" s="382">
        <f>C10/E10*10000</f>
        <v/>
      </c>
      <c r="G10" s="234" t="inlineStr">
        <is>
          <t>峰值装机容量</t>
        </is>
      </c>
      <c r="H10" s="232" t="inlineStr">
        <is>
          <t>专业工程指标</t>
        </is>
      </c>
    </row>
    <row r="11" hidden="1" outlineLevel="1" ht="25" customFormat="1" customHeight="1" s="202">
      <c r="A11" s="229" t="inlineStr">
        <is>
          <t>3.3.5</t>
        </is>
      </c>
      <c r="B11" s="230" t="inlineStr">
        <is>
          <t>太阳能热水设备工程</t>
        </is>
      </c>
      <c r="C11" s="418" t="n"/>
      <c r="D11" s="232" t="inlineStr">
        <is>
          <t>㎡</t>
        </is>
      </c>
      <c r="E11" s="419" t="n"/>
      <c r="F11" s="382">
        <f>C11/E11*10000</f>
        <v/>
      </c>
      <c r="G11" s="234" t="inlineStr">
        <is>
          <t>总集热面积</t>
        </is>
      </c>
      <c r="H11" s="232" t="inlineStr">
        <is>
          <t>专业工程指标</t>
        </is>
      </c>
    </row>
    <row r="12" hidden="1" outlineLevel="1" ht="25" customFormat="1" customHeight="1" s="202">
      <c r="A12" s="229" t="inlineStr">
        <is>
          <t>3.3.6</t>
        </is>
      </c>
      <c r="B12" s="230" t="inlineStr">
        <is>
          <t>冷冻机房设备工程</t>
        </is>
      </c>
      <c r="C12" s="418" t="n"/>
      <c r="D12" s="232" t="inlineStr">
        <is>
          <t>kW</t>
        </is>
      </c>
      <c r="E12" s="419" t="n"/>
      <c r="F12" s="382">
        <f>C12/E12*10000</f>
        <v/>
      </c>
      <c r="G12" s="234" t="inlineStr">
        <is>
          <t>额定总制冷功率</t>
        </is>
      </c>
      <c r="H12" s="232" t="inlineStr">
        <is>
          <t>专业工程指标</t>
        </is>
      </c>
    </row>
    <row r="13" hidden="1" outlineLevel="1" ht="25" customFormat="1" customHeight="1" s="202">
      <c r="A13" s="229" t="inlineStr">
        <is>
          <t>3.3.7</t>
        </is>
      </c>
      <c r="B13" s="230" t="inlineStr">
        <is>
          <t>锅炉房设备工程</t>
        </is>
      </c>
      <c r="C13" s="418" t="n"/>
      <c r="D13" s="232" t="inlineStr">
        <is>
          <t>MW</t>
        </is>
      </c>
      <c r="E13" s="419" t="n"/>
      <c r="F13" s="382">
        <f>C13/E13*10000</f>
        <v/>
      </c>
      <c r="G13" s="234" t="inlineStr">
        <is>
          <t>额定供热功率</t>
        </is>
      </c>
      <c r="H13" s="232" t="inlineStr">
        <is>
          <t>专业工程指标</t>
        </is>
      </c>
    </row>
    <row r="14" hidden="1" outlineLevel="1" ht="25" customFormat="1" customHeight="1" s="202">
      <c r="A14" s="229" t="inlineStr">
        <is>
          <t>3.3.8</t>
        </is>
      </c>
      <c r="B14" s="230" t="inlineStr">
        <is>
          <t>洗衣机房设备工程</t>
        </is>
      </c>
      <c r="C14" s="418" t="n"/>
      <c r="D14" s="232" t="inlineStr">
        <is>
          <t>套</t>
        </is>
      </c>
      <c r="E14" s="419" t="n"/>
      <c r="F14" s="382">
        <f>C14/E14*10000</f>
        <v/>
      </c>
      <c r="G14" s="234" t="inlineStr">
        <is>
          <t>成套机组数量</t>
        </is>
      </c>
      <c r="H14" s="232" t="inlineStr">
        <is>
          <t>专业工程指标</t>
        </is>
      </c>
    </row>
    <row r="15" hidden="1" outlineLevel="1" ht="25" customFormat="1" customHeight="1" s="202">
      <c r="A15" s="229" t="inlineStr">
        <is>
          <t>3.3.9</t>
        </is>
      </c>
      <c r="B15" s="230" t="inlineStr">
        <is>
          <t>厨房设备工程</t>
        </is>
      </c>
      <c r="C15" s="418" t="n"/>
      <c r="D15" s="232" t="inlineStr">
        <is>
          <t>套</t>
        </is>
      </c>
      <c r="E15" s="419" t="n"/>
      <c r="F15" s="382">
        <f>C15/E15*10000</f>
        <v/>
      </c>
      <c r="G15" s="234" t="inlineStr">
        <is>
          <t>成套设备数量</t>
        </is>
      </c>
      <c r="H15" s="232" t="inlineStr">
        <is>
          <t>专业工程指标</t>
        </is>
      </c>
    </row>
    <row r="16" hidden="1" outlineLevel="1" ht="25" customFormat="1" customHeight="1" s="202">
      <c r="A16" s="229" t="inlineStr">
        <is>
          <t>3.3.10</t>
        </is>
      </c>
      <c r="B16" s="230" t="inlineStr">
        <is>
          <t>游泳池设备工程</t>
        </is>
      </c>
      <c r="C16" s="418" t="n"/>
      <c r="D16" s="232" t="inlineStr">
        <is>
          <t>m³</t>
        </is>
      </c>
      <c r="E16" s="419" t="n"/>
      <c r="F16" s="382">
        <f>C16/E16*10000</f>
        <v/>
      </c>
      <c r="G16" s="234" t="inlineStr">
        <is>
          <t>设计水体总容积</t>
        </is>
      </c>
      <c r="H16" s="232" t="inlineStr">
        <is>
          <t>专业工程指标</t>
        </is>
      </c>
    </row>
    <row r="17" hidden="1" outlineLevel="1" ht="25" customFormat="1" customHeight="1" s="202">
      <c r="A17" s="229" t="inlineStr">
        <is>
          <t>3.3.11</t>
        </is>
      </c>
      <c r="B17" s="230" t="inlineStr">
        <is>
          <t>健身设备工程</t>
        </is>
      </c>
      <c r="C17" s="418" t="n"/>
      <c r="D17" s="232" t="inlineStr">
        <is>
          <t>件</t>
        </is>
      </c>
      <c r="E17" s="419" t="n"/>
      <c r="F17" s="382">
        <f>C17/E17*10000</f>
        <v/>
      </c>
      <c r="G17" s="234" t="inlineStr">
        <is>
          <t>健身设备数量</t>
        </is>
      </c>
      <c r="H17" s="232" t="inlineStr">
        <is>
          <t>专业工程指标</t>
        </is>
      </c>
    </row>
    <row r="18" hidden="1" outlineLevel="1" ht="25" customFormat="1" customHeight="1" s="202">
      <c r="A18" s="229" t="inlineStr">
        <is>
          <t>3.3.12</t>
        </is>
      </c>
      <c r="B18" s="230" t="inlineStr">
        <is>
          <t>污水处理站设备工程</t>
        </is>
      </c>
      <c r="C18" s="418" t="n"/>
      <c r="D18" s="232" t="inlineStr">
        <is>
          <t>m³/d</t>
        </is>
      </c>
      <c r="E18" s="419" t="n"/>
      <c r="F18" s="382">
        <f>C18/E18*10000</f>
        <v/>
      </c>
      <c r="G18" s="234" t="inlineStr">
        <is>
          <t>日处理污水规模</t>
        </is>
      </c>
      <c r="H18" s="232" t="inlineStr">
        <is>
          <t>专业工程指标</t>
        </is>
      </c>
    </row>
    <row r="19" collapsed="1" ht="25" customFormat="1" customHeight="1" s="412">
      <c r="A19" s="235" t="n">
        <v>3.2</v>
      </c>
      <c r="B19" s="236" t="inlineStr">
        <is>
          <t>医疗专项工程</t>
        </is>
      </c>
      <c r="C19" s="237">
        <f>SUM(C20:C28)</f>
        <v/>
      </c>
      <c r="D19" s="238" t="inlineStr">
        <is>
          <t>㎡</t>
        </is>
      </c>
      <c r="E19" s="417" t="n"/>
      <c r="F19" s="417">
        <f>C19/E19*10000</f>
        <v/>
      </c>
      <c r="G19" s="228" t="inlineStr">
        <is>
          <t>区域建筑面积</t>
        </is>
      </c>
      <c r="H19" s="238" t="inlineStr">
        <is>
          <t>专业工程指标</t>
        </is>
      </c>
      <c r="I19" s="202" t="n"/>
      <c r="J19" s="202" t="n"/>
      <c r="K19" s="202" t="n"/>
      <c r="L19" s="202" t="n"/>
      <c r="M19" s="202" t="n"/>
      <c r="N19" s="202" t="n"/>
      <c r="O19" s="202" t="n"/>
      <c r="P19" s="202" t="n"/>
      <c r="Q19" s="202" t="n"/>
      <c r="R19" s="202" t="n"/>
      <c r="S19" s="202" t="n"/>
      <c r="T19" s="202" t="n"/>
      <c r="U19" s="202" t="n"/>
      <c r="V19" s="202" t="n"/>
      <c r="W19" s="202" t="n"/>
      <c r="X19" s="202" t="n"/>
      <c r="Y19" s="202" t="n"/>
      <c r="Z19" s="202" t="n"/>
      <c r="AA19" s="202" t="n"/>
      <c r="AB19" s="202" t="n"/>
      <c r="AC19" s="202" t="n"/>
      <c r="AD19" s="202" t="n"/>
      <c r="AE19" s="202" t="n"/>
      <c r="AF19" s="202" t="n"/>
      <c r="AG19" s="202" t="n"/>
      <c r="AH19" s="202" t="n"/>
      <c r="AI19" s="202" t="n"/>
      <c r="AJ19" s="202" t="n"/>
      <c r="AK19" s="202" t="n"/>
      <c r="AL19" s="202" t="n"/>
      <c r="AM19" s="202" t="n"/>
      <c r="AN19" s="202" t="n"/>
      <c r="AO19" s="202" t="n"/>
      <c r="AP19" s="202" t="n"/>
      <c r="AQ19" s="202" t="n"/>
      <c r="AR19" s="202" t="n"/>
      <c r="AS19" s="202" t="n"/>
      <c r="AT19" s="202" t="n"/>
      <c r="AU19" s="202" t="n"/>
      <c r="AV19" s="202" t="n"/>
      <c r="AW19" s="202" t="n"/>
      <c r="AX19" s="202" t="n"/>
      <c r="AY19" s="202" t="n"/>
      <c r="AZ19" s="202" t="n"/>
      <c r="BA19" s="202" t="n"/>
      <c r="BB19" s="202" t="n"/>
      <c r="BC19" s="202" t="n"/>
      <c r="BD19" s="202" t="n"/>
      <c r="BE19" s="202" t="n"/>
      <c r="BF19" s="202" t="n"/>
      <c r="BG19" s="202" t="n"/>
      <c r="BH19" s="202" t="n"/>
      <c r="BI19" s="202" t="n"/>
      <c r="BJ19" s="202" t="n"/>
      <c r="BK19" s="202" t="n"/>
      <c r="BL19" s="202" t="n"/>
      <c r="BM19" s="202" t="n"/>
      <c r="BN19" s="202" t="n"/>
      <c r="BO19" s="202" t="n"/>
      <c r="BP19" s="202" t="n"/>
      <c r="BQ19" s="202" t="n"/>
      <c r="BR19" s="202" t="n"/>
      <c r="BS19" s="202" t="n"/>
      <c r="BT19" s="202" t="n"/>
      <c r="BU19" s="202" t="n"/>
      <c r="BV19" s="202" t="n"/>
      <c r="BW19" s="202" t="n"/>
      <c r="BX19" s="202" t="n"/>
      <c r="BY19" s="202" t="n"/>
      <c r="BZ19" s="202" t="n"/>
      <c r="CA19" s="202" t="n"/>
      <c r="CB19" s="202" t="n"/>
      <c r="CC19" s="202" t="n"/>
      <c r="CD19" s="202" t="n"/>
      <c r="CE19" s="202" t="n"/>
      <c r="CF19" s="202" t="n"/>
      <c r="CG19" s="202" t="n"/>
      <c r="CH19" s="202" t="n"/>
      <c r="CI19" s="202" t="n"/>
      <c r="CJ19" s="202" t="n"/>
      <c r="CK19" s="202" t="n"/>
      <c r="CL19" s="202" t="n"/>
      <c r="CM19" s="202" t="n"/>
      <c r="CN19" s="202" t="n"/>
      <c r="CO19" s="202" t="n"/>
      <c r="CP19" s="202" t="n"/>
      <c r="CQ19" s="202" t="n"/>
      <c r="CR19" s="202" t="n"/>
      <c r="CS19" s="202" t="n"/>
      <c r="CT19" s="202" t="n"/>
      <c r="CU19" s="202" t="n"/>
      <c r="CV19" s="202" t="n"/>
      <c r="CW19" s="202" t="n"/>
      <c r="CX19" s="202" t="n"/>
      <c r="CY19" s="202" t="n"/>
      <c r="CZ19" s="202" t="n"/>
      <c r="DA19" s="202" t="n"/>
      <c r="DB19" s="202" t="n"/>
      <c r="DC19" s="202" t="n"/>
      <c r="DD19" s="202" t="n"/>
      <c r="DE19" s="202" t="n"/>
      <c r="DF19" s="202" t="n"/>
      <c r="DG19" s="202" t="n"/>
      <c r="DH19" s="202" t="n"/>
      <c r="DI19" s="202" t="n"/>
      <c r="DJ19" s="202" t="n"/>
      <c r="DK19" s="202" t="n"/>
      <c r="DL19" s="202" t="n"/>
      <c r="DM19" s="202" t="n"/>
      <c r="DN19" s="202" t="n"/>
      <c r="DO19" s="202" t="n"/>
      <c r="DP19" s="202" t="n"/>
      <c r="DQ19" s="202" t="n"/>
      <c r="DR19" s="202" t="n"/>
      <c r="DS19" s="202" t="n"/>
      <c r="DT19" s="202" t="n"/>
      <c r="DU19" s="202" t="n"/>
      <c r="DV19" s="202" t="n"/>
      <c r="DW19" s="202" t="n"/>
      <c r="DX19" s="202" t="n"/>
      <c r="DY19" s="202" t="n"/>
      <c r="DZ19" s="202" t="n"/>
      <c r="EA19" s="202" t="n"/>
      <c r="EB19" s="202" t="n"/>
      <c r="EC19" s="202" t="n"/>
      <c r="ED19" s="202" t="n"/>
      <c r="EE19" s="202" t="n"/>
      <c r="EF19" s="202" t="n"/>
      <c r="EG19" s="202" t="n"/>
      <c r="EH19" s="202" t="n"/>
      <c r="EI19" s="202" t="n"/>
      <c r="EJ19" s="202" t="n"/>
      <c r="EK19" s="202" t="n"/>
      <c r="EL19" s="202" t="n"/>
      <c r="EM19" s="202" t="n"/>
      <c r="EN19" s="202" t="n"/>
      <c r="EO19" s="202" t="n"/>
      <c r="EP19" s="202" t="n"/>
      <c r="EQ19" s="202" t="n"/>
      <c r="ER19" s="202" t="n"/>
      <c r="ES19" s="202" t="n"/>
      <c r="ET19" s="202" t="n"/>
      <c r="EU19" s="202" t="n"/>
      <c r="EV19" s="202" t="n"/>
      <c r="EW19" s="202" t="n"/>
      <c r="EX19" s="202" t="n"/>
      <c r="EY19" s="202" t="n"/>
      <c r="EZ19" s="202" t="n"/>
      <c r="FA19" s="202" t="n"/>
      <c r="FB19" s="202" t="n"/>
      <c r="FC19" s="202" t="n"/>
      <c r="FD19" s="202" t="n"/>
      <c r="FE19" s="202" t="n"/>
      <c r="FF19" s="202" t="n"/>
      <c r="FG19" s="202" t="n"/>
      <c r="FH19" s="202" t="n"/>
      <c r="FI19" s="202" t="n"/>
      <c r="FJ19" s="202" t="n"/>
      <c r="FK19" s="202" t="n"/>
      <c r="FL19" s="202" t="n"/>
      <c r="FM19" s="202" t="n"/>
      <c r="FN19" s="202" t="n"/>
      <c r="FO19" s="202" t="n"/>
      <c r="FP19" s="202" t="n"/>
      <c r="FQ19" s="202" t="n"/>
      <c r="FR19" s="202" t="n"/>
      <c r="FS19" s="202" t="n"/>
      <c r="FT19" s="202" t="n"/>
      <c r="FU19" s="202" t="n"/>
      <c r="FV19" s="202" t="n"/>
      <c r="FW19" s="202" t="n"/>
      <c r="FX19" s="202" t="n"/>
      <c r="FY19" s="202" t="n"/>
      <c r="FZ19" s="202" t="n"/>
      <c r="GA19" s="202" t="n"/>
      <c r="GB19" s="202" t="n"/>
      <c r="GC19" s="202" t="n"/>
      <c r="GD19" s="202" t="n"/>
      <c r="GE19" s="202" t="n"/>
      <c r="GF19" s="202" t="n"/>
      <c r="GG19" s="202" t="n"/>
      <c r="GH19" s="202" t="n"/>
      <c r="GI19" s="202" t="n"/>
      <c r="GJ19" s="202" t="n"/>
      <c r="GK19" s="202" t="n"/>
      <c r="GL19" s="202" t="n"/>
      <c r="GM19" s="202" t="n"/>
      <c r="GN19" s="202" t="n"/>
      <c r="GO19" s="202" t="n"/>
      <c r="GP19" s="202" t="n"/>
      <c r="GQ19" s="202" t="n"/>
      <c r="GR19" s="202" t="n"/>
      <c r="GS19" s="202" t="n"/>
      <c r="GT19" s="202" t="n"/>
      <c r="GU19" s="202" t="n"/>
      <c r="GV19" s="202" t="n"/>
      <c r="GW19" s="202" t="n"/>
      <c r="GX19" s="202" t="n"/>
      <c r="GY19" s="202" t="n"/>
      <c r="GZ19" s="202" t="n"/>
      <c r="HA19" s="202" t="n"/>
      <c r="HB19" s="202" t="n"/>
      <c r="HC19" s="202" t="n"/>
      <c r="HD19" s="202" t="n"/>
      <c r="HE19" s="202" t="n"/>
      <c r="HF19" s="202" t="n"/>
      <c r="HG19" s="202" t="n"/>
      <c r="HH19" s="202" t="n"/>
      <c r="HI19" s="202" t="n"/>
      <c r="HJ19" s="202" t="n"/>
      <c r="HK19" s="202" t="n"/>
      <c r="HL19" s="202" t="n"/>
      <c r="HM19" s="202" t="n"/>
      <c r="HN19" s="202" t="n"/>
      <c r="HO19" s="202" t="n"/>
      <c r="HP19" s="202" t="n"/>
      <c r="HQ19" s="202" t="n"/>
      <c r="HR19" s="202" t="n"/>
      <c r="HS19" s="202" t="n"/>
      <c r="HT19" s="202" t="n"/>
      <c r="HU19" s="202" t="n"/>
      <c r="HV19" s="202" t="n"/>
      <c r="HW19" s="202" t="n"/>
      <c r="HX19" s="202" t="n"/>
      <c r="HY19" s="202" t="n"/>
      <c r="HZ19" s="202" t="n"/>
      <c r="IA19" s="202" t="n"/>
      <c r="IB19" s="202" t="n"/>
      <c r="IC19" s="202" t="n"/>
      <c r="ID19" s="202" t="n"/>
      <c r="IE19" s="202" t="n"/>
      <c r="IF19" s="202" t="n"/>
      <c r="IG19" s="202" t="n"/>
      <c r="IH19" s="202" t="n"/>
      <c r="II19" s="202" t="n"/>
      <c r="IJ19" s="202" t="n"/>
      <c r="IK19" s="202" t="n"/>
      <c r="IL19" s="202" t="n"/>
    </row>
    <row r="20" hidden="1" outlineLevel="1" ht="25" customFormat="1" customHeight="1" s="412">
      <c r="A20" s="239" t="inlineStr">
        <is>
          <t>3.2.1</t>
        </is>
      </c>
      <c r="B20" s="230" t="inlineStr">
        <is>
          <t>洁净工程</t>
        </is>
      </c>
      <c r="C20" s="418" t="n"/>
      <c r="D20" s="232" t="inlineStr">
        <is>
          <t>㎡</t>
        </is>
      </c>
      <c r="E20" s="419" t="n"/>
      <c r="F20" s="382">
        <f>C20/E20*10000</f>
        <v/>
      </c>
      <c r="G20" s="234" t="inlineStr">
        <is>
          <t>洁净室建筑面积</t>
        </is>
      </c>
      <c r="H20" s="232" t="inlineStr">
        <is>
          <t>专业工程指标</t>
        </is>
      </c>
      <c r="I20" s="202" t="n"/>
      <c r="J20" s="202" t="n"/>
      <c r="K20" s="202" t="n"/>
      <c r="L20" s="202" t="n"/>
      <c r="M20" s="202" t="n"/>
      <c r="N20" s="202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  <c r="AA20" s="202" t="n"/>
      <c r="AB20" s="202" t="n"/>
      <c r="AC20" s="202" t="n"/>
      <c r="AD20" s="202" t="n"/>
      <c r="AE20" s="202" t="n"/>
      <c r="AF20" s="202" t="n"/>
      <c r="AG20" s="202" t="n"/>
      <c r="AH20" s="202" t="n"/>
      <c r="AI20" s="202" t="n"/>
      <c r="AJ20" s="202" t="n"/>
      <c r="AK20" s="202" t="n"/>
      <c r="AL20" s="202" t="n"/>
      <c r="AM20" s="202" t="n"/>
      <c r="AN20" s="202" t="n"/>
      <c r="AO20" s="202" t="n"/>
      <c r="AP20" s="202" t="n"/>
      <c r="AQ20" s="202" t="n"/>
      <c r="AR20" s="202" t="n"/>
      <c r="AS20" s="202" t="n"/>
      <c r="AT20" s="202" t="n"/>
      <c r="AU20" s="202" t="n"/>
      <c r="AV20" s="202" t="n"/>
      <c r="AW20" s="202" t="n"/>
      <c r="AX20" s="202" t="n"/>
      <c r="AY20" s="202" t="n"/>
      <c r="AZ20" s="202" t="n"/>
      <c r="BA20" s="202" t="n"/>
      <c r="BB20" s="202" t="n"/>
      <c r="BC20" s="202" t="n"/>
      <c r="BD20" s="202" t="n"/>
      <c r="BE20" s="202" t="n"/>
      <c r="BF20" s="202" t="n"/>
      <c r="BG20" s="202" t="n"/>
      <c r="BH20" s="202" t="n"/>
      <c r="BI20" s="202" t="n"/>
      <c r="BJ20" s="202" t="n"/>
      <c r="BK20" s="202" t="n"/>
      <c r="BL20" s="202" t="n"/>
      <c r="BM20" s="202" t="n"/>
      <c r="BN20" s="202" t="n"/>
      <c r="BO20" s="202" t="n"/>
      <c r="BP20" s="202" t="n"/>
      <c r="BQ20" s="202" t="n"/>
      <c r="BR20" s="202" t="n"/>
      <c r="BS20" s="202" t="n"/>
      <c r="BT20" s="202" t="n"/>
      <c r="BU20" s="202" t="n"/>
      <c r="BV20" s="202" t="n"/>
      <c r="BW20" s="202" t="n"/>
      <c r="BX20" s="202" t="n"/>
      <c r="BY20" s="202" t="n"/>
      <c r="BZ20" s="202" t="n"/>
      <c r="CA20" s="202" t="n"/>
      <c r="CB20" s="202" t="n"/>
      <c r="CC20" s="202" t="n"/>
      <c r="CD20" s="202" t="n"/>
      <c r="CE20" s="202" t="n"/>
      <c r="CF20" s="202" t="n"/>
      <c r="CG20" s="202" t="n"/>
      <c r="CH20" s="202" t="n"/>
      <c r="CI20" s="202" t="n"/>
      <c r="CJ20" s="202" t="n"/>
      <c r="CK20" s="202" t="n"/>
      <c r="CL20" s="202" t="n"/>
      <c r="CM20" s="202" t="n"/>
      <c r="CN20" s="202" t="n"/>
      <c r="CO20" s="202" t="n"/>
      <c r="CP20" s="202" t="n"/>
      <c r="CQ20" s="202" t="n"/>
      <c r="CR20" s="202" t="n"/>
      <c r="CS20" s="202" t="n"/>
      <c r="CT20" s="202" t="n"/>
      <c r="CU20" s="202" t="n"/>
      <c r="CV20" s="202" t="n"/>
      <c r="CW20" s="202" t="n"/>
      <c r="CX20" s="202" t="n"/>
      <c r="CY20" s="202" t="n"/>
      <c r="CZ20" s="202" t="n"/>
      <c r="DA20" s="202" t="n"/>
      <c r="DB20" s="202" t="n"/>
      <c r="DC20" s="202" t="n"/>
      <c r="DD20" s="202" t="n"/>
      <c r="DE20" s="202" t="n"/>
      <c r="DF20" s="202" t="n"/>
      <c r="DG20" s="202" t="n"/>
      <c r="DH20" s="202" t="n"/>
      <c r="DI20" s="202" t="n"/>
      <c r="DJ20" s="202" t="n"/>
      <c r="DK20" s="202" t="n"/>
      <c r="DL20" s="202" t="n"/>
      <c r="DM20" s="202" t="n"/>
      <c r="DN20" s="202" t="n"/>
      <c r="DO20" s="202" t="n"/>
      <c r="DP20" s="202" t="n"/>
      <c r="DQ20" s="202" t="n"/>
      <c r="DR20" s="202" t="n"/>
      <c r="DS20" s="202" t="n"/>
      <c r="DT20" s="202" t="n"/>
      <c r="DU20" s="202" t="n"/>
      <c r="DV20" s="202" t="n"/>
      <c r="DW20" s="202" t="n"/>
      <c r="DX20" s="202" t="n"/>
      <c r="DY20" s="202" t="n"/>
      <c r="DZ20" s="202" t="n"/>
      <c r="EA20" s="202" t="n"/>
      <c r="EB20" s="202" t="n"/>
      <c r="EC20" s="202" t="n"/>
      <c r="ED20" s="202" t="n"/>
      <c r="EE20" s="202" t="n"/>
      <c r="EF20" s="202" t="n"/>
      <c r="EG20" s="202" t="n"/>
      <c r="EH20" s="202" t="n"/>
      <c r="EI20" s="202" t="n"/>
      <c r="EJ20" s="202" t="n"/>
      <c r="EK20" s="202" t="n"/>
      <c r="EL20" s="202" t="n"/>
      <c r="EM20" s="202" t="n"/>
      <c r="EN20" s="202" t="n"/>
      <c r="EO20" s="202" t="n"/>
      <c r="EP20" s="202" t="n"/>
      <c r="EQ20" s="202" t="n"/>
      <c r="ER20" s="202" t="n"/>
      <c r="ES20" s="202" t="n"/>
      <c r="ET20" s="202" t="n"/>
      <c r="EU20" s="202" t="n"/>
      <c r="EV20" s="202" t="n"/>
      <c r="EW20" s="202" t="n"/>
      <c r="EX20" s="202" t="n"/>
      <c r="EY20" s="202" t="n"/>
      <c r="EZ20" s="202" t="n"/>
      <c r="FA20" s="202" t="n"/>
      <c r="FB20" s="202" t="n"/>
      <c r="FC20" s="202" t="n"/>
      <c r="FD20" s="202" t="n"/>
      <c r="FE20" s="202" t="n"/>
      <c r="FF20" s="202" t="n"/>
      <c r="FG20" s="202" t="n"/>
      <c r="FH20" s="202" t="n"/>
      <c r="FI20" s="202" t="n"/>
      <c r="FJ20" s="202" t="n"/>
      <c r="FK20" s="202" t="n"/>
      <c r="FL20" s="202" t="n"/>
      <c r="FM20" s="202" t="n"/>
      <c r="FN20" s="202" t="n"/>
      <c r="FO20" s="202" t="n"/>
      <c r="FP20" s="202" t="n"/>
      <c r="FQ20" s="202" t="n"/>
      <c r="FR20" s="202" t="n"/>
      <c r="FS20" s="202" t="n"/>
      <c r="FT20" s="202" t="n"/>
      <c r="FU20" s="202" t="n"/>
      <c r="FV20" s="202" t="n"/>
      <c r="FW20" s="202" t="n"/>
      <c r="FX20" s="202" t="n"/>
      <c r="FY20" s="202" t="n"/>
      <c r="FZ20" s="202" t="n"/>
      <c r="GA20" s="202" t="n"/>
      <c r="GB20" s="202" t="n"/>
      <c r="GC20" s="202" t="n"/>
      <c r="GD20" s="202" t="n"/>
      <c r="GE20" s="202" t="n"/>
      <c r="GF20" s="202" t="n"/>
      <c r="GG20" s="202" t="n"/>
      <c r="GH20" s="202" t="n"/>
      <c r="GI20" s="202" t="n"/>
      <c r="GJ20" s="202" t="n"/>
      <c r="GK20" s="202" t="n"/>
      <c r="GL20" s="202" t="n"/>
      <c r="GM20" s="202" t="n"/>
      <c r="GN20" s="202" t="n"/>
      <c r="GO20" s="202" t="n"/>
      <c r="GP20" s="202" t="n"/>
      <c r="GQ20" s="202" t="n"/>
      <c r="GR20" s="202" t="n"/>
      <c r="GS20" s="202" t="n"/>
      <c r="GT20" s="202" t="n"/>
      <c r="GU20" s="202" t="n"/>
      <c r="GV20" s="202" t="n"/>
      <c r="GW20" s="202" t="n"/>
      <c r="GX20" s="202" t="n"/>
      <c r="GY20" s="202" t="n"/>
      <c r="GZ20" s="202" t="n"/>
      <c r="HA20" s="202" t="n"/>
      <c r="HB20" s="202" t="n"/>
      <c r="HC20" s="202" t="n"/>
      <c r="HD20" s="202" t="n"/>
      <c r="HE20" s="202" t="n"/>
      <c r="HF20" s="202" t="n"/>
      <c r="HG20" s="202" t="n"/>
      <c r="HH20" s="202" t="n"/>
      <c r="HI20" s="202" t="n"/>
      <c r="HJ20" s="202" t="n"/>
      <c r="HK20" s="202" t="n"/>
      <c r="HL20" s="202" t="n"/>
      <c r="HM20" s="202" t="n"/>
      <c r="HN20" s="202" t="n"/>
      <c r="HO20" s="202" t="n"/>
      <c r="HP20" s="202" t="n"/>
      <c r="HQ20" s="202" t="n"/>
      <c r="HR20" s="202" t="n"/>
      <c r="HS20" s="202" t="n"/>
      <c r="HT20" s="202" t="n"/>
      <c r="HU20" s="202" t="n"/>
      <c r="HV20" s="202" t="n"/>
      <c r="HW20" s="202" t="n"/>
      <c r="HX20" s="202" t="n"/>
      <c r="HY20" s="202" t="n"/>
      <c r="HZ20" s="202" t="n"/>
      <c r="IA20" s="202" t="n"/>
      <c r="IB20" s="202" t="n"/>
      <c r="IC20" s="202" t="n"/>
      <c r="ID20" s="202" t="n"/>
      <c r="IE20" s="202" t="n"/>
      <c r="IF20" s="202" t="n"/>
      <c r="IG20" s="202" t="n"/>
      <c r="IH20" s="202" t="n"/>
      <c r="II20" s="202" t="n"/>
      <c r="IJ20" s="202" t="n"/>
      <c r="IK20" s="202" t="n"/>
      <c r="IL20" s="202" t="n"/>
    </row>
    <row r="21" hidden="1" outlineLevel="1" ht="25" customFormat="1" customHeight="1" s="412">
      <c r="A21" s="239" t="inlineStr">
        <is>
          <t>3.2.2</t>
        </is>
      </c>
      <c r="B21" s="230" t="inlineStr">
        <is>
          <t>医用气体工程</t>
        </is>
      </c>
      <c r="C21" s="418" t="n"/>
      <c r="D21" s="232" t="inlineStr">
        <is>
          <t>床位</t>
        </is>
      </c>
      <c r="E21" s="419" t="n"/>
      <c r="F21" s="382">
        <f>C21/E21*10000</f>
        <v/>
      </c>
      <c r="G21" s="234" t="inlineStr">
        <is>
          <t>医院床位数</t>
        </is>
      </c>
      <c r="H21" s="232" t="inlineStr">
        <is>
          <t>专业工程指标</t>
        </is>
      </c>
      <c r="I21" s="202" t="n"/>
      <c r="J21" s="202" t="n"/>
      <c r="K21" s="202" t="n"/>
      <c r="L21" s="202" t="n"/>
      <c r="M21" s="202" t="n"/>
      <c r="N21" s="202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  <c r="AE21" s="202" t="n"/>
      <c r="AF21" s="202" t="n"/>
      <c r="AG21" s="202" t="n"/>
      <c r="AH21" s="202" t="n"/>
      <c r="AI21" s="202" t="n"/>
      <c r="AJ21" s="202" t="n"/>
      <c r="AK21" s="202" t="n"/>
      <c r="AL21" s="202" t="n"/>
      <c r="AM21" s="202" t="n"/>
      <c r="AN21" s="202" t="n"/>
      <c r="AO21" s="202" t="n"/>
      <c r="AP21" s="202" t="n"/>
      <c r="AQ21" s="202" t="n"/>
      <c r="AR21" s="202" t="n"/>
      <c r="AS21" s="202" t="n"/>
      <c r="AT21" s="202" t="n"/>
      <c r="AU21" s="202" t="n"/>
      <c r="AV21" s="202" t="n"/>
      <c r="AW21" s="202" t="n"/>
      <c r="AX21" s="202" t="n"/>
      <c r="AY21" s="202" t="n"/>
      <c r="AZ21" s="202" t="n"/>
      <c r="BA21" s="202" t="n"/>
      <c r="BB21" s="202" t="n"/>
      <c r="BC21" s="202" t="n"/>
      <c r="BD21" s="202" t="n"/>
      <c r="BE21" s="202" t="n"/>
      <c r="BF21" s="202" t="n"/>
      <c r="BG21" s="202" t="n"/>
      <c r="BH21" s="202" t="n"/>
      <c r="BI21" s="202" t="n"/>
      <c r="BJ21" s="202" t="n"/>
      <c r="BK21" s="202" t="n"/>
      <c r="BL21" s="202" t="n"/>
      <c r="BM21" s="202" t="n"/>
      <c r="BN21" s="202" t="n"/>
      <c r="BO21" s="202" t="n"/>
      <c r="BP21" s="202" t="n"/>
      <c r="BQ21" s="202" t="n"/>
      <c r="BR21" s="202" t="n"/>
      <c r="BS21" s="202" t="n"/>
      <c r="BT21" s="202" t="n"/>
      <c r="BU21" s="202" t="n"/>
      <c r="BV21" s="202" t="n"/>
      <c r="BW21" s="202" t="n"/>
      <c r="BX21" s="202" t="n"/>
      <c r="BY21" s="202" t="n"/>
      <c r="BZ21" s="202" t="n"/>
      <c r="CA21" s="202" t="n"/>
      <c r="CB21" s="202" t="n"/>
      <c r="CC21" s="202" t="n"/>
      <c r="CD21" s="202" t="n"/>
      <c r="CE21" s="202" t="n"/>
      <c r="CF21" s="202" t="n"/>
      <c r="CG21" s="202" t="n"/>
      <c r="CH21" s="202" t="n"/>
      <c r="CI21" s="202" t="n"/>
      <c r="CJ21" s="202" t="n"/>
      <c r="CK21" s="202" t="n"/>
      <c r="CL21" s="202" t="n"/>
      <c r="CM21" s="202" t="n"/>
      <c r="CN21" s="202" t="n"/>
      <c r="CO21" s="202" t="n"/>
      <c r="CP21" s="202" t="n"/>
      <c r="CQ21" s="202" t="n"/>
      <c r="CR21" s="202" t="n"/>
      <c r="CS21" s="202" t="n"/>
      <c r="CT21" s="202" t="n"/>
      <c r="CU21" s="202" t="n"/>
      <c r="CV21" s="202" t="n"/>
      <c r="CW21" s="202" t="n"/>
      <c r="CX21" s="202" t="n"/>
      <c r="CY21" s="202" t="n"/>
      <c r="CZ21" s="202" t="n"/>
      <c r="DA21" s="202" t="n"/>
      <c r="DB21" s="202" t="n"/>
      <c r="DC21" s="202" t="n"/>
      <c r="DD21" s="202" t="n"/>
      <c r="DE21" s="202" t="n"/>
      <c r="DF21" s="202" t="n"/>
      <c r="DG21" s="202" t="n"/>
      <c r="DH21" s="202" t="n"/>
      <c r="DI21" s="202" t="n"/>
      <c r="DJ21" s="202" t="n"/>
      <c r="DK21" s="202" t="n"/>
      <c r="DL21" s="202" t="n"/>
      <c r="DM21" s="202" t="n"/>
      <c r="DN21" s="202" t="n"/>
      <c r="DO21" s="202" t="n"/>
      <c r="DP21" s="202" t="n"/>
      <c r="DQ21" s="202" t="n"/>
      <c r="DR21" s="202" t="n"/>
      <c r="DS21" s="202" t="n"/>
      <c r="DT21" s="202" t="n"/>
      <c r="DU21" s="202" t="n"/>
      <c r="DV21" s="202" t="n"/>
      <c r="DW21" s="202" t="n"/>
      <c r="DX21" s="202" t="n"/>
      <c r="DY21" s="202" t="n"/>
      <c r="DZ21" s="202" t="n"/>
      <c r="EA21" s="202" t="n"/>
      <c r="EB21" s="202" t="n"/>
      <c r="EC21" s="202" t="n"/>
      <c r="ED21" s="202" t="n"/>
      <c r="EE21" s="202" t="n"/>
      <c r="EF21" s="202" t="n"/>
      <c r="EG21" s="202" t="n"/>
      <c r="EH21" s="202" t="n"/>
      <c r="EI21" s="202" t="n"/>
      <c r="EJ21" s="202" t="n"/>
      <c r="EK21" s="202" t="n"/>
      <c r="EL21" s="202" t="n"/>
      <c r="EM21" s="202" t="n"/>
      <c r="EN21" s="202" t="n"/>
      <c r="EO21" s="202" t="n"/>
      <c r="EP21" s="202" t="n"/>
      <c r="EQ21" s="202" t="n"/>
      <c r="ER21" s="202" t="n"/>
      <c r="ES21" s="202" t="n"/>
      <c r="ET21" s="202" t="n"/>
      <c r="EU21" s="202" t="n"/>
      <c r="EV21" s="202" t="n"/>
      <c r="EW21" s="202" t="n"/>
      <c r="EX21" s="202" t="n"/>
      <c r="EY21" s="202" t="n"/>
      <c r="EZ21" s="202" t="n"/>
      <c r="FA21" s="202" t="n"/>
      <c r="FB21" s="202" t="n"/>
      <c r="FC21" s="202" t="n"/>
      <c r="FD21" s="202" t="n"/>
      <c r="FE21" s="202" t="n"/>
      <c r="FF21" s="202" t="n"/>
      <c r="FG21" s="202" t="n"/>
      <c r="FH21" s="202" t="n"/>
      <c r="FI21" s="202" t="n"/>
      <c r="FJ21" s="202" t="n"/>
      <c r="FK21" s="202" t="n"/>
      <c r="FL21" s="202" t="n"/>
      <c r="FM21" s="202" t="n"/>
      <c r="FN21" s="202" t="n"/>
      <c r="FO21" s="202" t="n"/>
      <c r="FP21" s="202" t="n"/>
      <c r="FQ21" s="202" t="n"/>
      <c r="FR21" s="202" t="n"/>
      <c r="FS21" s="202" t="n"/>
      <c r="FT21" s="202" t="n"/>
      <c r="FU21" s="202" t="n"/>
      <c r="FV21" s="202" t="n"/>
      <c r="FW21" s="202" t="n"/>
      <c r="FX21" s="202" t="n"/>
      <c r="FY21" s="202" t="n"/>
      <c r="FZ21" s="202" t="n"/>
      <c r="GA21" s="202" t="n"/>
      <c r="GB21" s="202" t="n"/>
      <c r="GC21" s="202" t="n"/>
      <c r="GD21" s="202" t="n"/>
      <c r="GE21" s="202" t="n"/>
      <c r="GF21" s="202" t="n"/>
      <c r="GG21" s="202" t="n"/>
      <c r="GH21" s="202" t="n"/>
      <c r="GI21" s="202" t="n"/>
      <c r="GJ21" s="202" t="n"/>
      <c r="GK21" s="202" t="n"/>
      <c r="GL21" s="202" t="n"/>
      <c r="GM21" s="202" t="n"/>
      <c r="GN21" s="202" t="n"/>
      <c r="GO21" s="202" t="n"/>
      <c r="GP21" s="202" t="n"/>
      <c r="GQ21" s="202" t="n"/>
      <c r="GR21" s="202" t="n"/>
      <c r="GS21" s="202" t="n"/>
      <c r="GT21" s="202" t="n"/>
      <c r="GU21" s="202" t="n"/>
      <c r="GV21" s="202" t="n"/>
      <c r="GW21" s="202" t="n"/>
      <c r="GX21" s="202" t="n"/>
      <c r="GY21" s="202" t="n"/>
      <c r="GZ21" s="202" t="n"/>
      <c r="HA21" s="202" t="n"/>
      <c r="HB21" s="202" t="n"/>
      <c r="HC21" s="202" t="n"/>
      <c r="HD21" s="202" t="n"/>
      <c r="HE21" s="202" t="n"/>
      <c r="HF21" s="202" t="n"/>
      <c r="HG21" s="202" t="n"/>
      <c r="HH21" s="202" t="n"/>
      <c r="HI21" s="202" t="n"/>
      <c r="HJ21" s="202" t="n"/>
      <c r="HK21" s="202" t="n"/>
      <c r="HL21" s="202" t="n"/>
      <c r="HM21" s="202" t="n"/>
      <c r="HN21" s="202" t="n"/>
      <c r="HO21" s="202" t="n"/>
      <c r="HP21" s="202" t="n"/>
      <c r="HQ21" s="202" t="n"/>
      <c r="HR21" s="202" t="n"/>
      <c r="HS21" s="202" t="n"/>
      <c r="HT21" s="202" t="n"/>
      <c r="HU21" s="202" t="n"/>
      <c r="HV21" s="202" t="n"/>
      <c r="HW21" s="202" t="n"/>
      <c r="HX21" s="202" t="n"/>
      <c r="HY21" s="202" t="n"/>
      <c r="HZ21" s="202" t="n"/>
      <c r="IA21" s="202" t="n"/>
      <c r="IB21" s="202" t="n"/>
      <c r="IC21" s="202" t="n"/>
      <c r="ID21" s="202" t="n"/>
      <c r="IE21" s="202" t="n"/>
      <c r="IF21" s="202" t="n"/>
      <c r="IG21" s="202" t="n"/>
      <c r="IH21" s="202" t="n"/>
      <c r="II21" s="202" t="n"/>
      <c r="IJ21" s="202" t="n"/>
      <c r="IK21" s="202" t="n"/>
      <c r="IL21" s="202" t="n"/>
    </row>
    <row r="22" hidden="1" outlineLevel="1" ht="25" customFormat="1" customHeight="1" s="412">
      <c r="A22" s="239" t="inlineStr">
        <is>
          <t>3.2.3</t>
        </is>
      </c>
      <c r="B22" s="230" t="inlineStr">
        <is>
          <t>医用纯水工程</t>
        </is>
      </c>
      <c r="C22" s="418" t="n"/>
      <c r="D22" s="232" t="inlineStr">
        <is>
          <t>m³/h</t>
        </is>
      </c>
      <c r="E22" s="419" t="n"/>
      <c r="F22" s="382">
        <f>C22/E22*10000</f>
        <v/>
      </c>
      <c r="G22" s="234" t="inlineStr">
        <is>
          <t>额定产水流量</t>
        </is>
      </c>
      <c r="H22" s="232" t="inlineStr">
        <is>
          <t>专业工程指标</t>
        </is>
      </c>
      <c r="I22" s="202" t="n"/>
      <c r="J22" s="202" t="n"/>
      <c r="K22" s="202" t="n"/>
      <c r="L22" s="202" t="n"/>
      <c r="M22" s="202" t="n"/>
      <c r="N22" s="202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2" t="n"/>
      <c r="AF22" s="202" t="n"/>
      <c r="AG22" s="202" t="n"/>
      <c r="AH22" s="202" t="n"/>
      <c r="AI22" s="202" t="n"/>
      <c r="AJ22" s="202" t="n"/>
      <c r="AK22" s="202" t="n"/>
      <c r="AL22" s="202" t="n"/>
      <c r="AM22" s="202" t="n"/>
      <c r="AN22" s="202" t="n"/>
      <c r="AO22" s="202" t="n"/>
      <c r="AP22" s="202" t="n"/>
      <c r="AQ22" s="202" t="n"/>
      <c r="AR22" s="202" t="n"/>
      <c r="AS22" s="202" t="n"/>
      <c r="AT22" s="202" t="n"/>
      <c r="AU22" s="202" t="n"/>
      <c r="AV22" s="202" t="n"/>
      <c r="AW22" s="202" t="n"/>
      <c r="AX22" s="202" t="n"/>
      <c r="AY22" s="202" t="n"/>
      <c r="AZ22" s="202" t="n"/>
      <c r="BA22" s="202" t="n"/>
      <c r="BB22" s="202" t="n"/>
      <c r="BC22" s="202" t="n"/>
      <c r="BD22" s="202" t="n"/>
      <c r="BE22" s="202" t="n"/>
      <c r="BF22" s="202" t="n"/>
      <c r="BG22" s="202" t="n"/>
      <c r="BH22" s="202" t="n"/>
      <c r="BI22" s="202" t="n"/>
      <c r="BJ22" s="202" t="n"/>
      <c r="BK22" s="202" t="n"/>
      <c r="BL22" s="202" t="n"/>
      <c r="BM22" s="202" t="n"/>
      <c r="BN22" s="202" t="n"/>
      <c r="BO22" s="202" t="n"/>
      <c r="BP22" s="202" t="n"/>
      <c r="BQ22" s="202" t="n"/>
      <c r="BR22" s="202" t="n"/>
      <c r="BS22" s="202" t="n"/>
      <c r="BT22" s="202" t="n"/>
      <c r="BU22" s="202" t="n"/>
      <c r="BV22" s="202" t="n"/>
      <c r="BW22" s="202" t="n"/>
      <c r="BX22" s="202" t="n"/>
      <c r="BY22" s="202" t="n"/>
      <c r="BZ22" s="202" t="n"/>
      <c r="CA22" s="202" t="n"/>
      <c r="CB22" s="202" t="n"/>
      <c r="CC22" s="202" t="n"/>
      <c r="CD22" s="202" t="n"/>
      <c r="CE22" s="202" t="n"/>
      <c r="CF22" s="202" t="n"/>
      <c r="CG22" s="202" t="n"/>
      <c r="CH22" s="202" t="n"/>
      <c r="CI22" s="202" t="n"/>
      <c r="CJ22" s="202" t="n"/>
      <c r="CK22" s="202" t="n"/>
      <c r="CL22" s="202" t="n"/>
      <c r="CM22" s="202" t="n"/>
      <c r="CN22" s="202" t="n"/>
      <c r="CO22" s="202" t="n"/>
      <c r="CP22" s="202" t="n"/>
      <c r="CQ22" s="202" t="n"/>
      <c r="CR22" s="202" t="n"/>
      <c r="CS22" s="202" t="n"/>
      <c r="CT22" s="202" t="n"/>
      <c r="CU22" s="202" t="n"/>
      <c r="CV22" s="202" t="n"/>
      <c r="CW22" s="202" t="n"/>
      <c r="CX22" s="202" t="n"/>
      <c r="CY22" s="202" t="n"/>
      <c r="CZ22" s="202" t="n"/>
      <c r="DA22" s="202" t="n"/>
      <c r="DB22" s="202" t="n"/>
      <c r="DC22" s="202" t="n"/>
      <c r="DD22" s="202" t="n"/>
      <c r="DE22" s="202" t="n"/>
      <c r="DF22" s="202" t="n"/>
      <c r="DG22" s="202" t="n"/>
      <c r="DH22" s="202" t="n"/>
      <c r="DI22" s="202" t="n"/>
      <c r="DJ22" s="202" t="n"/>
      <c r="DK22" s="202" t="n"/>
      <c r="DL22" s="202" t="n"/>
      <c r="DM22" s="202" t="n"/>
      <c r="DN22" s="202" t="n"/>
      <c r="DO22" s="202" t="n"/>
      <c r="DP22" s="202" t="n"/>
      <c r="DQ22" s="202" t="n"/>
      <c r="DR22" s="202" t="n"/>
      <c r="DS22" s="202" t="n"/>
      <c r="DT22" s="202" t="n"/>
      <c r="DU22" s="202" t="n"/>
      <c r="DV22" s="202" t="n"/>
      <c r="DW22" s="202" t="n"/>
      <c r="DX22" s="202" t="n"/>
      <c r="DY22" s="202" t="n"/>
      <c r="DZ22" s="202" t="n"/>
      <c r="EA22" s="202" t="n"/>
      <c r="EB22" s="202" t="n"/>
      <c r="EC22" s="202" t="n"/>
      <c r="ED22" s="202" t="n"/>
      <c r="EE22" s="202" t="n"/>
      <c r="EF22" s="202" t="n"/>
      <c r="EG22" s="202" t="n"/>
      <c r="EH22" s="202" t="n"/>
      <c r="EI22" s="202" t="n"/>
      <c r="EJ22" s="202" t="n"/>
      <c r="EK22" s="202" t="n"/>
      <c r="EL22" s="202" t="n"/>
      <c r="EM22" s="202" t="n"/>
      <c r="EN22" s="202" t="n"/>
      <c r="EO22" s="202" t="n"/>
      <c r="EP22" s="202" t="n"/>
      <c r="EQ22" s="202" t="n"/>
      <c r="ER22" s="202" t="n"/>
      <c r="ES22" s="202" t="n"/>
      <c r="ET22" s="202" t="n"/>
      <c r="EU22" s="202" t="n"/>
      <c r="EV22" s="202" t="n"/>
      <c r="EW22" s="202" t="n"/>
      <c r="EX22" s="202" t="n"/>
      <c r="EY22" s="202" t="n"/>
      <c r="EZ22" s="202" t="n"/>
      <c r="FA22" s="202" t="n"/>
      <c r="FB22" s="202" t="n"/>
      <c r="FC22" s="202" t="n"/>
      <c r="FD22" s="202" t="n"/>
      <c r="FE22" s="202" t="n"/>
      <c r="FF22" s="202" t="n"/>
      <c r="FG22" s="202" t="n"/>
      <c r="FH22" s="202" t="n"/>
      <c r="FI22" s="202" t="n"/>
      <c r="FJ22" s="202" t="n"/>
      <c r="FK22" s="202" t="n"/>
      <c r="FL22" s="202" t="n"/>
      <c r="FM22" s="202" t="n"/>
      <c r="FN22" s="202" t="n"/>
      <c r="FO22" s="202" t="n"/>
      <c r="FP22" s="202" t="n"/>
      <c r="FQ22" s="202" t="n"/>
      <c r="FR22" s="202" t="n"/>
      <c r="FS22" s="202" t="n"/>
      <c r="FT22" s="202" t="n"/>
      <c r="FU22" s="202" t="n"/>
      <c r="FV22" s="202" t="n"/>
      <c r="FW22" s="202" t="n"/>
      <c r="FX22" s="202" t="n"/>
      <c r="FY22" s="202" t="n"/>
      <c r="FZ22" s="202" t="n"/>
      <c r="GA22" s="202" t="n"/>
      <c r="GB22" s="202" t="n"/>
      <c r="GC22" s="202" t="n"/>
      <c r="GD22" s="202" t="n"/>
      <c r="GE22" s="202" t="n"/>
      <c r="GF22" s="202" t="n"/>
      <c r="GG22" s="202" t="n"/>
      <c r="GH22" s="202" t="n"/>
      <c r="GI22" s="202" t="n"/>
      <c r="GJ22" s="202" t="n"/>
      <c r="GK22" s="202" t="n"/>
      <c r="GL22" s="202" t="n"/>
      <c r="GM22" s="202" t="n"/>
      <c r="GN22" s="202" t="n"/>
      <c r="GO22" s="202" t="n"/>
      <c r="GP22" s="202" t="n"/>
      <c r="GQ22" s="202" t="n"/>
      <c r="GR22" s="202" t="n"/>
      <c r="GS22" s="202" t="n"/>
      <c r="GT22" s="202" t="n"/>
      <c r="GU22" s="202" t="n"/>
      <c r="GV22" s="202" t="n"/>
      <c r="GW22" s="202" t="n"/>
      <c r="GX22" s="202" t="n"/>
      <c r="GY22" s="202" t="n"/>
      <c r="GZ22" s="202" t="n"/>
      <c r="HA22" s="202" t="n"/>
      <c r="HB22" s="202" t="n"/>
      <c r="HC22" s="202" t="n"/>
      <c r="HD22" s="202" t="n"/>
      <c r="HE22" s="202" t="n"/>
      <c r="HF22" s="202" t="n"/>
      <c r="HG22" s="202" t="n"/>
      <c r="HH22" s="202" t="n"/>
      <c r="HI22" s="202" t="n"/>
      <c r="HJ22" s="202" t="n"/>
      <c r="HK22" s="202" t="n"/>
      <c r="HL22" s="202" t="n"/>
      <c r="HM22" s="202" t="n"/>
      <c r="HN22" s="202" t="n"/>
      <c r="HO22" s="202" t="n"/>
      <c r="HP22" s="202" t="n"/>
      <c r="HQ22" s="202" t="n"/>
      <c r="HR22" s="202" t="n"/>
      <c r="HS22" s="202" t="n"/>
      <c r="HT22" s="202" t="n"/>
      <c r="HU22" s="202" t="n"/>
      <c r="HV22" s="202" t="n"/>
      <c r="HW22" s="202" t="n"/>
      <c r="HX22" s="202" t="n"/>
      <c r="HY22" s="202" t="n"/>
      <c r="HZ22" s="202" t="n"/>
      <c r="IA22" s="202" t="n"/>
      <c r="IB22" s="202" t="n"/>
      <c r="IC22" s="202" t="n"/>
      <c r="ID22" s="202" t="n"/>
      <c r="IE22" s="202" t="n"/>
      <c r="IF22" s="202" t="n"/>
      <c r="IG22" s="202" t="n"/>
      <c r="IH22" s="202" t="n"/>
      <c r="II22" s="202" t="n"/>
      <c r="IJ22" s="202" t="n"/>
      <c r="IK22" s="202" t="n"/>
      <c r="IL22" s="202" t="n"/>
    </row>
    <row r="23" hidden="1" outlineLevel="1" ht="25" customFormat="1" customHeight="1" s="412">
      <c r="A23" s="239" t="inlineStr">
        <is>
          <t>3.2.4</t>
        </is>
      </c>
      <c r="B23" s="230" t="inlineStr">
        <is>
          <t>污水处理工程</t>
        </is>
      </c>
      <c r="C23" s="418" t="n"/>
      <c r="D23" s="232" t="inlineStr">
        <is>
          <t>m³/d</t>
        </is>
      </c>
      <c r="E23" s="419" t="n"/>
      <c r="F23" s="382">
        <f>C23/E23*10000</f>
        <v/>
      </c>
      <c r="G23" s="234" t="inlineStr">
        <is>
          <t>设计日处理规模</t>
        </is>
      </c>
      <c r="H23" s="232" t="inlineStr">
        <is>
          <t>专业工程指标</t>
        </is>
      </c>
      <c r="I23" s="202" t="n"/>
      <c r="J23" s="202" t="n"/>
      <c r="K23" s="202" t="n"/>
      <c r="L23" s="202" t="n"/>
      <c r="M23" s="202" t="n"/>
      <c r="N23" s="202" t="n"/>
      <c r="O23" s="202" t="n"/>
      <c r="P23" s="202" t="n"/>
      <c r="Q23" s="202" t="n"/>
      <c r="R23" s="202" t="n"/>
      <c r="S23" s="202" t="n"/>
      <c r="T23" s="202" t="n"/>
      <c r="U23" s="202" t="n"/>
      <c r="V23" s="202" t="n"/>
      <c r="W23" s="202" t="n"/>
      <c r="X23" s="202" t="n"/>
      <c r="Y23" s="202" t="n"/>
      <c r="Z23" s="202" t="n"/>
      <c r="AA23" s="202" t="n"/>
      <c r="AB23" s="202" t="n"/>
      <c r="AC23" s="202" t="n"/>
      <c r="AD23" s="202" t="n"/>
      <c r="AE23" s="202" t="n"/>
      <c r="AF23" s="202" t="n"/>
      <c r="AG23" s="202" t="n"/>
      <c r="AH23" s="202" t="n"/>
      <c r="AI23" s="202" t="n"/>
      <c r="AJ23" s="202" t="n"/>
      <c r="AK23" s="202" t="n"/>
      <c r="AL23" s="202" t="n"/>
      <c r="AM23" s="202" t="n"/>
      <c r="AN23" s="202" t="n"/>
      <c r="AO23" s="202" t="n"/>
      <c r="AP23" s="202" t="n"/>
      <c r="AQ23" s="202" t="n"/>
      <c r="AR23" s="202" t="n"/>
      <c r="AS23" s="202" t="n"/>
      <c r="AT23" s="202" t="n"/>
      <c r="AU23" s="202" t="n"/>
      <c r="AV23" s="202" t="n"/>
      <c r="AW23" s="202" t="n"/>
      <c r="AX23" s="202" t="n"/>
      <c r="AY23" s="202" t="n"/>
      <c r="AZ23" s="202" t="n"/>
      <c r="BA23" s="202" t="n"/>
      <c r="BB23" s="202" t="n"/>
      <c r="BC23" s="202" t="n"/>
      <c r="BD23" s="202" t="n"/>
      <c r="BE23" s="202" t="n"/>
      <c r="BF23" s="202" t="n"/>
      <c r="BG23" s="202" t="n"/>
      <c r="BH23" s="202" t="n"/>
      <c r="BI23" s="202" t="n"/>
      <c r="BJ23" s="202" t="n"/>
      <c r="BK23" s="202" t="n"/>
      <c r="BL23" s="202" t="n"/>
      <c r="BM23" s="202" t="n"/>
      <c r="BN23" s="202" t="n"/>
      <c r="BO23" s="202" t="n"/>
      <c r="BP23" s="202" t="n"/>
      <c r="BQ23" s="202" t="n"/>
      <c r="BR23" s="202" t="n"/>
      <c r="BS23" s="202" t="n"/>
      <c r="BT23" s="202" t="n"/>
      <c r="BU23" s="202" t="n"/>
      <c r="BV23" s="202" t="n"/>
      <c r="BW23" s="202" t="n"/>
      <c r="BX23" s="202" t="n"/>
      <c r="BY23" s="202" t="n"/>
      <c r="BZ23" s="202" t="n"/>
      <c r="CA23" s="202" t="n"/>
      <c r="CB23" s="202" t="n"/>
      <c r="CC23" s="202" t="n"/>
      <c r="CD23" s="202" t="n"/>
      <c r="CE23" s="202" t="n"/>
      <c r="CF23" s="202" t="n"/>
      <c r="CG23" s="202" t="n"/>
      <c r="CH23" s="202" t="n"/>
      <c r="CI23" s="202" t="n"/>
      <c r="CJ23" s="202" t="n"/>
      <c r="CK23" s="202" t="n"/>
      <c r="CL23" s="202" t="n"/>
      <c r="CM23" s="202" t="n"/>
      <c r="CN23" s="202" t="n"/>
      <c r="CO23" s="202" t="n"/>
      <c r="CP23" s="202" t="n"/>
      <c r="CQ23" s="202" t="n"/>
      <c r="CR23" s="202" t="n"/>
      <c r="CS23" s="202" t="n"/>
      <c r="CT23" s="202" t="n"/>
      <c r="CU23" s="202" t="n"/>
      <c r="CV23" s="202" t="n"/>
      <c r="CW23" s="202" t="n"/>
      <c r="CX23" s="202" t="n"/>
      <c r="CY23" s="202" t="n"/>
      <c r="CZ23" s="202" t="n"/>
      <c r="DA23" s="202" t="n"/>
      <c r="DB23" s="202" t="n"/>
      <c r="DC23" s="202" t="n"/>
      <c r="DD23" s="202" t="n"/>
      <c r="DE23" s="202" t="n"/>
      <c r="DF23" s="202" t="n"/>
      <c r="DG23" s="202" t="n"/>
      <c r="DH23" s="202" t="n"/>
      <c r="DI23" s="202" t="n"/>
      <c r="DJ23" s="202" t="n"/>
      <c r="DK23" s="202" t="n"/>
      <c r="DL23" s="202" t="n"/>
      <c r="DM23" s="202" t="n"/>
      <c r="DN23" s="202" t="n"/>
      <c r="DO23" s="202" t="n"/>
      <c r="DP23" s="202" t="n"/>
      <c r="DQ23" s="202" t="n"/>
      <c r="DR23" s="202" t="n"/>
      <c r="DS23" s="202" t="n"/>
      <c r="DT23" s="202" t="n"/>
      <c r="DU23" s="202" t="n"/>
      <c r="DV23" s="202" t="n"/>
      <c r="DW23" s="202" t="n"/>
      <c r="DX23" s="202" t="n"/>
      <c r="DY23" s="202" t="n"/>
      <c r="DZ23" s="202" t="n"/>
      <c r="EA23" s="202" t="n"/>
      <c r="EB23" s="202" t="n"/>
      <c r="EC23" s="202" t="n"/>
      <c r="ED23" s="202" t="n"/>
      <c r="EE23" s="202" t="n"/>
      <c r="EF23" s="202" t="n"/>
      <c r="EG23" s="202" t="n"/>
      <c r="EH23" s="202" t="n"/>
      <c r="EI23" s="202" t="n"/>
      <c r="EJ23" s="202" t="n"/>
      <c r="EK23" s="202" t="n"/>
      <c r="EL23" s="202" t="n"/>
      <c r="EM23" s="202" t="n"/>
      <c r="EN23" s="202" t="n"/>
      <c r="EO23" s="202" t="n"/>
      <c r="EP23" s="202" t="n"/>
      <c r="EQ23" s="202" t="n"/>
      <c r="ER23" s="202" t="n"/>
      <c r="ES23" s="202" t="n"/>
      <c r="ET23" s="202" t="n"/>
      <c r="EU23" s="202" t="n"/>
      <c r="EV23" s="202" t="n"/>
      <c r="EW23" s="202" t="n"/>
      <c r="EX23" s="202" t="n"/>
      <c r="EY23" s="202" t="n"/>
      <c r="EZ23" s="202" t="n"/>
      <c r="FA23" s="202" t="n"/>
      <c r="FB23" s="202" t="n"/>
      <c r="FC23" s="202" t="n"/>
      <c r="FD23" s="202" t="n"/>
      <c r="FE23" s="202" t="n"/>
      <c r="FF23" s="202" t="n"/>
      <c r="FG23" s="202" t="n"/>
      <c r="FH23" s="202" t="n"/>
      <c r="FI23" s="202" t="n"/>
      <c r="FJ23" s="202" t="n"/>
      <c r="FK23" s="202" t="n"/>
      <c r="FL23" s="202" t="n"/>
      <c r="FM23" s="202" t="n"/>
      <c r="FN23" s="202" t="n"/>
      <c r="FO23" s="202" t="n"/>
      <c r="FP23" s="202" t="n"/>
      <c r="FQ23" s="202" t="n"/>
      <c r="FR23" s="202" t="n"/>
      <c r="FS23" s="202" t="n"/>
      <c r="FT23" s="202" t="n"/>
      <c r="FU23" s="202" t="n"/>
      <c r="FV23" s="202" t="n"/>
      <c r="FW23" s="202" t="n"/>
      <c r="FX23" s="202" t="n"/>
      <c r="FY23" s="202" t="n"/>
      <c r="FZ23" s="202" t="n"/>
      <c r="GA23" s="202" t="n"/>
      <c r="GB23" s="202" t="n"/>
      <c r="GC23" s="202" t="n"/>
      <c r="GD23" s="202" t="n"/>
      <c r="GE23" s="202" t="n"/>
      <c r="GF23" s="202" t="n"/>
      <c r="GG23" s="202" t="n"/>
      <c r="GH23" s="202" t="n"/>
      <c r="GI23" s="202" t="n"/>
      <c r="GJ23" s="202" t="n"/>
      <c r="GK23" s="202" t="n"/>
      <c r="GL23" s="202" t="n"/>
      <c r="GM23" s="202" t="n"/>
      <c r="GN23" s="202" t="n"/>
      <c r="GO23" s="202" t="n"/>
      <c r="GP23" s="202" t="n"/>
      <c r="GQ23" s="202" t="n"/>
      <c r="GR23" s="202" t="n"/>
      <c r="GS23" s="202" t="n"/>
      <c r="GT23" s="202" t="n"/>
      <c r="GU23" s="202" t="n"/>
      <c r="GV23" s="202" t="n"/>
      <c r="GW23" s="202" t="n"/>
      <c r="GX23" s="202" t="n"/>
      <c r="GY23" s="202" t="n"/>
      <c r="GZ23" s="202" t="n"/>
      <c r="HA23" s="202" t="n"/>
      <c r="HB23" s="202" t="n"/>
      <c r="HC23" s="202" t="n"/>
      <c r="HD23" s="202" t="n"/>
      <c r="HE23" s="202" t="n"/>
      <c r="HF23" s="202" t="n"/>
      <c r="HG23" s="202" t="n"/>
      <c r="HH23" s="202" t="n"/>
      <c r="HI23" s="202" t="n"/>
      <c r="HJ23" s="202" t="n"/>
      <c r="HK23" s="202" t="n"/>
      <c r="HL23" s="202" t="n"/>
      <c r="HM23" s="202" t="n"/>
      <c r="HN23" s="202" t="n"/>
      <c r="HO23" s="202" t="n"/>
      <c r="HP23" s="202" t="n"/>
      <c r="HQ23" s="202" t="n"/>
      <c r="HR23" s="202" t="n"/>
      <c r="HS23" s="202" t="n"/>
      <c r="HT23" s="202" t="n"/>
      <c r="HU23" s="202" t="n"/>
      <c r="HV23" s="202" t="n"/>
      <c r="HW23" s="202" t="n"/>
      <c r="HX23" s="202" t="n"/>
      <c r="HY23" s="202" t="n"/>
      <c r="HZ23" s="202" t="n"/>
      <c r="IA23" s="202" t="n"/>
      <c r="IB23" s="202" t="n"/>
      <c r="IC23" s="202" t="n"/>
      <c r="ID23" s="202" t="n"/>
      <c r="IE23" s="202" t="n"/>
      <c r="IF23" s="202" t="n"/>
      <c r="IG23" s="202" t="n"/>
      <c r="IH23" s="202" t="n"/>
      <c r="II23" s="202" t="n"/>
      <c r="IJ23" s="202" t="n"/>
      <c r="IK23" s="202" t="n"/>
      <c r="IL23" s="202" t="n"/>
    </row>
    <row r="24" hidden="1" outlineLevel="1" ht="25" customFormat="1" customHeight="1" s="412">
      <c r="A24" s="239" t="inlineStr">
        <is>
          <t>3.2.5</t>
        </is>
      </c>
      <c r="B24" s="230" t="inlineStr">
        <is>
          <t>放射防护工程</t>
        </is>
      </c>
      <c r="C24" s="418" t="n"/>
      <c r="D24" s="232" t="inlineStr">
        <is>
          <t>㎡</t>
        </is>
      </c>
      <c r="E24" s="419" t="n"/>
      <c r="F24" s="382">
        <f>C24/E24*10000</f>
        <v/>
      </c>
      <c r="G24" s="234" t="inlineStr">
        <is>
          <t>区域建筑面积</t>
        </is>
      </c>
      <c r="H24" s="232" t="inlineStr">
        <is>
          <t>专业工程指标</t>
        </is>
      </c>
      <c r="I24" s="202" t="n"/>
      <c r="J24" s="202" t="n"/>
      <c r="K24" s="202" t="n"/>
      <c r="L24" s="202" t="n"/>
      <c r="M24" s="202" t="n"/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  <c r="AA24" s="202" t="n"/>
      <c r="AB24" s="202" t="n"/>
      <c r="AC24" s="202" t="n"/>
      <c r="AD24" s="202" t="n"/>
      <c r="AE24" s="202" t="n"/>
      <c r="AF24" s="202" t="n"/>
      <c r="AG24" s="202" t="n"/>
      <c r="AH24" s="202" t="n"/>
      <c r="AI24" s="202" t="n"/>
      <c r="AJ24" s="202" t="n"/>
      <c r="AK24" s="202" t="n"/>
      <c r="AL24" s="202" t="n"/>
      <c r="AM24" s="202" t="n"/>
      <c r="AN24" s="202" t="n"/>
      <c r="AO24" s="202" t="n"/>
      <c r="AP24" s="202" t="n"/>
      <c r="AQ24" s="202" t="n"/>
      <c r="AR24" s="202" t="n"/>
      <c r="AS24" s="202" t="n"/>
      <c r="AT24" s="202" t="n"/>
      <c r="AU24" s="202" t="n"/>
      <c r="AV24" s="202" t="n"/>
      <c r="AW24" s="202" t="n"/>
      <c r="AX24" s="202" t="n"/>
      <c r="AY24" s="202" t="n"/>
      <c r="AZ24" s="202" t="n"/>
      <c r="BA24" s="202" t="n"/>
      <c r="BB24" s="202" t="n"/>
      <c r="BC24" s="202" t="n"/>
      <c r="BD24" s="202" t="n"/>
      <c r="BE24" s="202" t="n"/>
      <c r="BF24" s="202" t="n"/>
      <c r="BG24" s="202" t="n"/>
      <c r="BH24" s="202" t="n"/>
      <c r="BI24" s="202" t="n"/>
      <c r="BJ24" s="202" t="n"/>
      <c r="BK24" s="202" t="n"/>
      <c r="BL24" s="202" t="n"/>
      <c r="BM24" s="202" t="n"/>
      <c r="BN24" s="202" t="n"/>
      <c r="BO24" s="202" t="n"/>
      <c r="BP24" s="202" t="n"/>
      <c r="BQ24" s="202" t="n"/>
      <c r="BR24" s="202" t="n"/>
      <c r="BS24" s="202" t="n"/>
      <c r="BT24" s="202" t="n"/>
      <c r="BU24" s="202" t="n"/>
      <c r="BV24" s="202" t="n"/>
      <c r="BW24" s="202" t="n"/>
      <c r="BX24" s="202" t="n"/>
      <c r="BY24" s="202" t="n"/>
      <c r="BZ24" s="202" t="n"/>
      <c r="CA24" s="202" t="n"/>
      <c r="CB24" s="202" t="n"/>
      <c r="CC24" s="202" t="n"/>
      <c r="CD24" s="202" t="n"/>
      <c r="CE24" s="202" t="n"/>
      <c r="CF24" s="202" t="n"/>
      <c r="CG24" s="202" t="n"/>
      <c r="CH24" s="202" t="n"/>
      <c r="CI24" s="202" t="n"/>
      <c r="CJ24" s="202" t="n"/>
      <c r="CK24" s="202" t="n"/>
      <c r="CL24" s="202" t="n"/>
      <c r="CM24" s="202" t="n"/>
      <c r="CN24" s="202" t="n"/>
      <c r="CO24" s="202" t="n"/>
      <c r="CP24" s="202" t="n"/>
      <c r="CQ24" s="202" t="n"/>
      <c r="CR24" s="202" t="n"/>
      <c r="CS24" s="202" t="n"/>
      <c r="CT24" s="202" t="n"/>
      <c r="CU24" s="202" t="n"/>
      <c r="CV24" s="202" t="n"/>
      <c r="CW24" s="202" t="n"/>
      <c r="CX24" s="202" t="n"/>
      <c r="CY24" s="202" t="n"/>
      <c r="CZ24" s="202" t="n"/>
      <c r="DA24" s="202" t="n"/>
      <c r="DB24" s="202" t="n"/>
      <c r="DC24" s="202" t="n"/>
      <c r="DD24" s="202" t="n"/>
      <c r="DE24" s="202" t="n"/>
      <c r="DF24" s="202" t="n"/>
      <c r="DG24" s="202" t="n"/>
      <c r="DH24" s="202" t="n"/>
      <c r="DI24" s="202" t="n"/>
      <c r="DJ24" s="202" t="n"/>
      <c r="DK24" s="202" t="n"/>
      <c r="DL24" s="202" t="n"/>
      <c r="DM24" s="202" t="n"/>
      <c r="DN24" s="202" t="n"/>
      <c r="DO24" s="202" t="n"/>
      <c r="DP24" s="202" t="n"/>
      <c r="DQ24" s="202" t="n"/>
      <c r="DR24" s="202" t="n"/>
      <c r="DS24" s="202" t="n"/>
      <c r="DT24" s="202" t="n"/>
      <c r="DU24" s="202" t="n"/>
      <c r="DV24" s="202" t="n"/>
      <c r="DW24" s="202" t="n"/>
      <c r="DX24" s="202" t="n"/>
      <c r="DY24" s="202" t="n"/>
      <c r="DZ24" s="202" t="n"/>
      <c r="EA24" s="202" t="n"/>
      <c r="EB24" s="202" t="n"/>
      <c r="EC24" s="202" t="n"/>
      <c r="ED24" s="202" t="n"/>
      <c r="EE24" s="202" t="n"/>
      <c r="EF24" s="202" t="n"/>
      <c r="EG24" s="202" t="n"/>
      <c r="EH24" s="202" t="n"/>
      <c r="EI24" s="202" t="n"/>
      <c r="EJ24" s="202" t="n"/>
      <c r="EK24" s="202" t="n"/>
      <c r="EL24" s="202" t="n"/>
      <c r="EM24" s="202" t="n"/>
      <c r="EN24" s="202" t="n"/>
      <c r="EO24" s="202" t="n"/>
      <c r="EP24" s="202" t="n"/>
      <c r="EQ24" s="202" t="n"/>
      <c r="ER24" s="202" t="n"/>
      <c r="ES24" s="202" t="n"/>
      <c r="ET24" s="202" t="n"/>
      <c r="EU24" s="202" t="n"/>
      <c r="EV24" s="202" t="n"/>
      <c r="EW24" s="202" t="n"/>
      <c r="EX24" s="202" t="n"/>
      <c r="EY24" s="202" t="n"/>
      <c r="EZ24" s="202" t="n"/>
      <c r="FA24" s="202" t="n"/>
      <c r="FB24" s="202" t="n"/>
      <c r="FC24" s="202" t="n"/>
      <c r="FD24" s="202" t="n"/>
      <c r="FE24" s="202" t="n"/>
      <c r="FF24" s="202" t="n"/>
      <c r="FG24" s="202" t="n"/>
      <c r="FH24" s="202" t="n"/>
      <c r="FI24" s="202" t="n"/>
      <c r="FJ24" s="202" t="n"/>
      <c r="FK24" s="202" t="n"/>
      <c r="FL24" s="202" t="n"/>
      <c r="FM24" s="202" t="n"/>
      <c r="FN24" s="202" t="n"/>
      <c r="FO24" s="202" t="n"/>
      <c r="FP24" s="202" t="n"/>
      <c r="FQ24" s="202" t="n"/>
      <c r="FR24" s="202" t="n"/>
      <c r="FS24" s="202" t="n"/>
      <c r="FT24" s="202" t="n"/>
      <c r="FU24" s="202" t="n"/>
      <c r="FV24" s="202" t="n"/>
      <c r="FW24" s="202" t="n"/>
      <c r="FX24" s="202" t="n"/>
      <c r="FY24" s="202" t="n"/>
      <c r="FZ24" s="202" t="n"/>
      <c r="GA24" s="202" t="n"/>
      <c r="GB24" s="202" t="n"/>
      <c r="GC24" s="202" t="n"/>
      <c r="GD24" s="202" t="n"/>
      <c r="GE24" s="202" t="n"/>
      <c r="GF24" s="202" t="n"/>
      <c r="GG24" s="202" t="n"/>
      <c r="GH24" s="202" t="n"/>
      <c r="GI24" s="202" t="n"/>
      <c r="GJ24" s="202" t="n"/>
      <c r="GK24" s="202" t="n"/>
      <c r="GL24" s="202" t="n"/>
      <c r="GM24" s="202" t="n"/>
      <c r="GN24" s="202" t="n"/>
      <c r="GO24" s="202" t="n"/>
      <c r="GP24" s="202" t="n"/>
      <c r="GQ24" s="202" t="n"/>
      <c r="GR24" s="202" t="n"/>
      <c r="GS24" s="202" t="n"/>
      <c r="GT24" s="202" t="n"/>
      <c r="GU24" s="202" t="n"/>
      <c r="GV24" s="202" t="n"/>
      <c r="GW24" s="202" t="n"/>
      <c r="GX24" s="202" t="n"/>
      <c r="GY24" s="202" t="n"/>
      <c r="GZ24" s="202" t="n"/>
      <c r="HA24" s="202" t="n"/>
      <c r="HB24" s="202" t="n"/>
      <c r="HC24" s="202" t="n"/>
      <c r="HD24" s="202" t="n"/>
      <c r="HE24" s="202" t="n"/>
      <c r="HF24" s="202" t="n"/>
      <c r="HG24" s="202" t="n"/>
      <c r="HH24" s="202" t="n"/>
      <c r="HI24" s="202" t="n"/>
      <c r="HJ24" s="202" t="n"/>
      <c r="HK24" s="202" t="n"/>
      <c r="HL24" s="202" t="n"/>
      <c r="HM24" s="202" t="n"/>
      <c r="HN24" s="202" t="n"/>
      <c r="HO24" s="202" t="n"/>
      <c r="HP24" s="202" t="n"/>
      <c r="HQ24" s="202" t="n"/>
      <c r="HR24" s="202" t="n"/>
      <c r="HS24" s="202" t="n"/>
      <c r="HT24" s="202" t="n"/>
      <c r="HU24" s="202" t="n"/>
      <c r="HV24" s="202" t="n"/>
      <c r="HW24" s="202" t="n"/>
      <c r="HX24" s="202" t="n"/>
      <c r="HY24" s="202" t="n"/>
      <c r="HZ24" s="202" t="n"/>
      <c r="IA24" s="202" t="n"/>
      <c r="IB24" s="202" t="n"/>
      <c r="IC24" s="202" t="n"/>
      <c r="ID24" s="202" t="n"/>
      <c r="IE24" s="202" t="n"/>
      <c r="IF24" s="202" t="n"/>
      <c r="IG24" s="202" t="n"/>
      <c r="IH24" s="202" t="n"/>
      <c r="II24" s="202" t="n"/>
      <c r="IJ24" s="202" t="n"/>
      <c r="IK24" s="202" t="n"/>
      <c r="IL24" s="202" t="n"/>
    </row>
    <row r="25" hidden="1" outlineLevel="1" ht="25" customFormat="1" customHeight="1" s="412">
      <c r="A25" s="239" t="inlineStr">
        <is>
          <t>3.2.6</t>
        </is>
      </c>
      <c r="B25" s="230" t="inlineStr">
        <is>
          <t>病理科空气质量处理工程</t>
        </is>
      </c>
      <c r="C25" s="418" t="n"/>
      <c r="D25" s="232" t="inlineStr">
        <is>
          <t>㎡</t>
        </is>
      </c>
      <c r="E25" s="419" t="n"/>
      <c r="F25" s="382">
        <f>C25/E25*10000</f>
        <v/>
      </c>
      <c r="G25" s="234" t="inlineStr">
        <is>
          <t>区域建筑面积</t>
        </is>
      </c>
      <c r="H25" s="232" t="inlineStr">
        <is>
          <t>专业工程指标</t>
        </is>
      </c>
      <c r="I25" s="202" t="n"/>
      <c r="J25" s="202" t="n"/>
      <c r="K25" s="202" t="n"/>
      <c r="L25" s="202" t="n"/>
      <c r="M25" s="202" t="n"/>
      <c r="N25" s="202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  <c r="AH25" s="202" t="n"/>
      <c r="AI25" s="202" t="n"/>
      <c r="AJ25" s="202" t="n"/>
      <c r="AK25" s="202" t="n"/>
      <c r="AL25" s="202" t="n"/>
      <c r="AM25" s="202" t="n"/>
      <c r="AN25" s="202" t="n"/>
      <c r="AO25" s="202" t="n"/>
      <c r="AP25" s="202" t="n"/>
      <c r="AQ25" s="202" t="n"/>
      <c r="AR25" s="202" t="n"/>
      <c r="AS25" s="202" t="n"/>
      <c r="AT25" s="202" t="n"/>
      <c r="AU25" s="202" t="n"/>
      <c r="AV25" s="202" t="n"/>
      <c r="AW25" s="202" t="n"/>
      <c r="AX25" s="202" t="n"/>
      <c r="AY25" s="202" t="n"/>
      <c r="AZ25" s="202" t="n"/>
      <c r="BA25" s="202" t="n"/>
      <c r="BB25" s="202" t="n"/>
      <c r="BC25" s="202" t="n"/>
      <c r="BD25" s="202" t="n"/>
      <c r="BE25" s="202" t="n"/>
      <c r="BF25" s="202" t="n"/>
      <c r="BG25" s="202" t="n"/>
      <c r="BH25" s="202" t="n"/>
      <c r="BI25" s="202" t="n"/>
      <c r="BJ25" s="202" t="n"/>
      <c r="BK25" s="202" t="n"/>
      <c r="BL25" s="202" t="n"/>
      <c r="BM25" s="202" t="n"/>
      <c r="BN25" s="202" t="n"/>
      <c r="BO25" s="202" t="n"/>
      <c r="BP25" s="202" t="n"/>
      <c r="BQ25" s="202" t="n"/>
      <c r="BR25" s="202" t="n"/>
      <c r="BS25" s="202" t="n"/>
      <c r="BT25" s="202" t="n"/>
      <c r="BU25" s="202" t="n"/>
      <c r="BV25" s="202" t="n"/>
      <c r="BW25" s="202" t="n"/>
      <c r="BX25" s="202" t="n"/>
      <c r="BY25" s="202" t="n"/>
      <c r="BZ25" s="202" t="n"/>
      <c r="CA25" s="202" t="n"/>
      <c r="CB25" s="202" t="n"/>
      <c r="CC25" s="202" t="n"/>
      <c r="CD25" s="202" t="n"/>
      <c r="CE25" s="202" t="n"/>
      <c r="CF25" s="202" t="n"/>
      <c r="CG25" s="202" t="n"/>
      <c r="CH25" s="202" t="n"/>
      <c r="CI25" s="202" t="n"/>
      <c r="CJ25" s="202" t="n"/>
      <c r="CK25" s="202" t="n"/>
      <c r="CL25" s="202" t="n"/>
      <c r="CM25" s="202" t="n"/>
      <c r="CN25" s="202" t="n"/>
      <c r="CO25" s="202" t="n"/>
      <c r="CP25" s="202" t="n"/>
      <c r="CQ25" s="202" t="n"/>
      <c r="CR25" s="202" t="n"/>
      <c r="CS25" s="202" t="n"/>
      <c r="CT25" s="202" t="n"/>
      <c r="CU25" s="202" t="n"/>
      <c r="CV25" s="202" t="n"/>
      <c r="CW25" s="202" t="n"/>
      <c r="CX25" s="202" t="n"/>
      <c r="CY25" s="202" t="n"/>
      <c r="CZ25" s="202" t="n"/>
      <c r="DA25" s="202" t="n"/>
      <c r="DB25" s="202" t="n"/>
      <c r="DC25" s="202" t="n"/>
      <c r="DD25" s="202" t="n"/>
      <c r="DE25" s="202" t="n"/>
      <c r="DF25" s="202" t="n"/>
      <c r="DG25" s="202" t="n"/>
      <c r="DH25" s="202" t="n"/>
      <c r="DI25" s="202" t="n"/>
      <c r="DJ25" s="202" t="n"/>
      <c r="DK25" s="202" t="n"/>
      <c r="DL25" s="202" t="n"/>
      <c r="DM25" s="202" t="n"/>
      <c r="DN25" s="202" t="n"/>
      <c r="DO25" s="202" t="n"/>
      <c r="DP25" s="202" t="n"/>
      <c r="DQ25" s="202" t="n"/>
      <c r="DR25" s="202" t="n"/>
      <c r="DS25" s="202" t="n"/>
      <c r="DT25" s="202" t="n"/>
      <c r="DU25" s="202" t="n"/>
      <c r="DV25" s="202" t="n"/>
      <c r="DW25" s="202" t="n"/>
      <c r="DX25" s="202" t="n"/>
      <c r="DY25" s="202" t="n"/>
      <c r="DZ25" s="202" t="n"/>
      <c r="EA25" s="202" t="n"/>
      <c r="EB25" s="202" t="n"/>
      <c r="EC25" s="202" t="n"/>
      <c r="ED25" s="202" t="n"/>
      <c r="EE25" s="202" t="n"/>
      <c r="EF25" s="202" t="n"/>
      <c r="EG25" s="202" t="n"/>
      <c r="EH25" s="202" t="n"/>
      <c r="EI25" s="202" t="n"/>
      <c r="EJ25" s="202" t="n"/>
      <c r="EK25" s="202" t="n"/>
      <c r="EL25" s="202" t="n"/>
      <c r="EM25" s="202" t="n"/>
      <c r="EN25" s="202" t="n"/>
      <c r="EO25" s="202" t="n"/>
      <c r="EP25" s="202" t="n"/>
      <c r="EQ25" s="202" t="n"/>
      <c r="ER25" s="202" t="n"/>
      <c r="ES25" s="202" t="n"/>
      <c r="ET25" s="202" t="n"/>
      <c r="EU25" s="202" t="n"/>
      <c r="EV25" s="202" t="n"/>
      <c r="EW25" s="202" t="n"/>
      <c r="EX25" s="202" t="n"/>
      <c r="EY25" s="202" t="n"/>
      <c r="EZ25" s="202" t="n"/>
      <c r="FA25" s="202" t="n"/>
      <c r="FB25" s="202" t="n"/>
      <c r="FC25" s="202" t="n"/>
      <c r="FD25" s="202" t="n"/>
      <c r="FE25" s="202" t="n"/>
      <c r="FF25" s="202" t="n"/>
      <c r="FG25" s="202" t="n"/>
      <c r="FH25" s="202" t="n"/>
      <c r="FI25" s="202" t="n"/>
      <c r="FJ25" s="202" t="n"/>
      <c r="FK25" s="202" t="n"/>
      <c r="FL25" s="202" t="n"/>
      <c r="FM25" s="202" t="n"/>
      <c r="FN25" s="202" t="n"/>
      <c r="FO25" s="202" t="n"/>
      <c r="FP25" s="202" t="n"/>
      <c r="FQ25" s="202" t="n"/>
      <c r="FR25" s="202" t="n"/>
      <c r="FS25" s="202" t="n"/>
      <c r="FT25" s="202" t="n"/>
      <c r="FU25" s="202" t="n"/>
      <c r="FV25" s="202" t="n"/>
      <c r="FW25" s="202" t="n"/>
      <c r="FX25" s="202" t="n"/>
      <c r="FY25" s="202" t="n"/>
      <c r="FZ25" s="202" t="n"/>
      <c r="GA25" s="202" t="n"/>
      <c r="GB25" s="202" t="n"/>
      <c r="GC25" s="202" t="n"/>
      <c r="GD25" s="202" t="n"/>
      <c r="GE25" s="202" t="n"/>
      <c r="GF25" s="202" t="n"/>
      <c r="GG25" s="202" t="n"/>
      <c r="GH25" s="202" t="n"/>
      <c r="GI25" s="202" t="n"/>
      <c r="GJ25" s="202" t="n"/>
      <c r="GK25" s="202" t="n"/>
      <c r="GL25" s="202" t="n"/>
      <c r="GM25" s="202" t="n"/>
      <c r="GN25" s="202" t="n"/>
      <c r="GO25" s="202" t="n"/>
      <c r="GP25" s="202" t="n"/>
      <c r="GQ25" s="202" t="n"/>
      <c r="GR25" s="202" t="n"/>
      <c r="GS25" s="202" t="n"/>
      <c r="GT25" s="202" t="n"/>
      <c r="GU25" s="202" t="n"/>
      <c r="GV25" s="202" t="n"/>
      <c r="GW25" s="202" t="n"/>
      <c r="GX25" s="202" t="n"/>
      <c r="GY25" s="202" t="n"/>
      <c r="GZ25" s="202" t="n"/>
      <c r="HA25" s="202" t="n"/>
      <c r="HB25" s="202" t="n"/>
      <c r="HC25" s="202" t="n"/>
      <c r="HD25" s="202" t="n"/>
      <c r="HE25" s="202" t="n"/>
      <c r="HF25" s="202" t="n"/>
      <c r="HG25" s="202" t="n"/>
      <c r="HH25" s="202" t="n"/>
      <c r="HI25" s="202" t="n"/>
      <c r="HJ25" s="202" t="n"/>
      <c r="HK25" s="202" t="n"/>
      <c r="HL25" s="202" t="n"/>
      <c r="HM25" s="202" t="n"/>
      <c r="HN25" s="202" t="n"/>
      <c r="HO25" s="202" t="n"/>
      <c r="HP25" s="202" t="n"/>
      <c r="HQ25" s="202" t="n"/>
      <c r="HR25" s="202" t="n"/>
      <c r="HS25" s="202" t="n"/>
      <c r="HT25" s="202" t="n"/>
      <c r="HU25" s="202" t="n"/>
      <c r="HV25" s="202" t="n"/>
      <c r="HW25" s="202" t="n"/>
      <c r="HX25" s="202" t="n"/>
      <c r="HY25" s="202" t="n"/>
      <c r="HZ25" s="202" t="n"/>
      <c r="IA25" s="202" t="n"/>
      <c r="IB25" s="202" t="n"/>
      <c r="IC25" s="202" t="n"/>
      <c r="ID25" s="202" t="n"/>
      <c r="IE25" s="202" t="n"/>
      <c r="IF25" s="202" t="n"/>
      <c r="IG25" s="202" t="n"/>
      <c r="IH25" s="202" t="n"/>
      <c r="II25" s="202" t="n"/>
      <c r="IJ25" s="202" t="n"/>
      <c r="IK25" s="202" t="n"/>
      <c r="IL25" s="202" t="n"/>
    </row>
    <row r="26" hidden="1" outlineLevel="1" ht="25" customFormat="1" customHeight="1" s="412">
      <c r="A26" s="239" t="inlineStr">
        <is>
          <t>3.2.7</t>
        </is>
      </c>
      <c r="B26" s="230" t="inlineStr">
        <is>
          <t>物流配送工程</t>
        </is>
      </c>
      <c r="C26" s="418" t="n"/>
      <c r="D26" s="232" t="inlineStr">
        <is>
          <t>套</t>
        </is>
      </c>
      <c r="E26" s="419" t="n"/>
      <c r="F26" s="382">
        <f>C26/E26*10000</f>
        <v/>
      </c>
      <c r="G26" s="234" t="inlineStr">
        <is>
          <t>传输成套系统</t>
        </is>
      </c>
      <c r="H26" s="232" t="inlineStr">
        <is>
          <t>专业工程指标</t>
        </is>
      </c>
      <c r="I26" s="202" t="n"/>
      <c r="J26" s="202" t="n"/>
      <c r="K26" s="202" t="n"/>
      <c r="L26" s="202" t="n"/>
      <c r="M26" s="202" t="n"/>
      <c r="N26" s="202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202" t="n"/>
      <c r="AE26" s="202" t="n"/>
      <c r="AF26" s="202" t="n"/>
      <c r="AG26" s="202" t="n"/>
      <c r="AH26" s="202" t="n"/>
      <c r="AI26" s="202" t="n"/>
      <c r="AJ26" s="202" t="n"/>
      <c r="AK26" s="202" t="n"/>
      <c r="AL26" s="202" t="n"/>
      <c r="AM26" s="202" t="n"/>
      <c r="AN26" s="202" t="n"/>
      <c r="AO26" s="202" t="n"/>
      <c r="AP26" s="202" t="n"/>
      <c r="AQ26" s="202" t="n"/>
      <c r="AR26" s="202" t="n"/>
      <c r="AS26" s="202" t="n"/>
      <c r="AT26" s="202" t="n"/>
      <c r="AU26" s="202" t="n"/>
      <c r="AV26" s="202" t="n"/>
      <c r="AW26" s="202" t="n"/>
      <c r="AX26" s="202" t="n"/>
      <c r="AY26" s="202" t="n"/>
      <c r="AZ26" s="202" t="n"/>
      <c r="BA26" s="202" t="n"/>
      <c r="BB26" s="202" t="n"/>
      <c r="BC26" s="202" t="n"/>
      <c r="BD26" s="202" t="n"/>
      <c r="BE26" s="202" t="n"/>
      <c r="BF26" s="202" t="n"/>
      <c r="BG26" s="202" t="n"/>
      <c r="BH26" s="202" t="n"/>
      <c r="BI26" s="202" t="n"/>
      <c r="BJ26" s="202" t="n"/>
      <c r="BK26" s="202" t="n"/>
      <c r="BL26" s="202" t="n"/>
      <c r="BM26" s="202" t="n"/>
      <c r="BN26" s="202" t="n"/>
      <c r="BO26" s="202" t="n"/>
      <c r="BP26" s="202" t="n"/>
      <c r="BQ26" s="202" t="n"/>
      <c r="BR26" s="202" t="n"/>
      <c r="BS26" s="202" t="n"/>
      <c r="BT26" s="202" t="n"/>
      <c r="BU26" s="202" t="n"/>
      <c r="BV26" s="202" t="n"/>
      <c r="BW26" s="202" t="n"/>
      <c r="BX26" s="202" t="n"/>
      <c r="BY26" s="202" t="n"/>
      <c r="BZ26" s="202" t="n"/>
      <c r="CA26" s="202" t="n"/>
      <c r="CB26" s="202" t="n"/>
      <c r="CC26" s="202" t="n"/>
      <c r="CD26" s="202" t="n"/>
      <c r="CE26" s="202" t="n"/>
      <c r="CF26" s="202" t="n"/>
      <c r="CG26" s="202" t="n"/>
      <c r="CH26" s="202" t="n"/>
      <c r="CI26" s="202" t="n"/>
      <c r="CJ26" s="202" t="n"/>
      <c r="CK26" s="202" t="n"/>
      <c r="CL26" s="202" t="n"/>
      <c r="CM26" s="202" t="n"/>
      <c r="CN26" s="202" t="n"/>
      <c r="CO26" s="202" t="n"/>
      <c r="CP26" s="202" t="n"/>
      <c r="CQ26" s="202" t="n"/>
      <c r="CR26" s="202" t="n"/>
      <c r="CS26" s="202" t="n"/>
      <c r="CT26" s="202" t="n"/>
      <c r="CU26" s="202" t="n"/>
      <c r="CV26" s="202" t="n"/>
      <c r="CW26" s="202" t="n"/>
      <c r="CX26" s="202" t="n"/>
      <c r="CY26" s="202" t="n"/>
      <c r="CZ26" s="202" t="n"/>
      <c r="DA26" s="202" t="n"/>
      <c r="DB26" s="202" t="n"/>
      <c r="DC26" s="202" t="n"/>
      <c r="DD26" s="202" t="n"/>
      <c r="DE26" s="202" t="n"/>
      <c r="DF26" s="202" t="n"/>
      <c r="DG26" s="202" t="n"/>
      <c r="DH26" s="202" t="n"/>
      <c r="DI26" s="202" t="n"/>
      <c r="DJ26" s="202" t="n"/>
      <c r="DK26" s="202" t="n"/>
      <c r="DL26" s="202" t="n"/>
      <c r="DM26" s="202" t="n"/>
      <c r="DN26" s="202" t="n"/>
      <c r="DO26" s="202" t="n"/>
      <c r="DP26" s="202" t="n"/>
      <c r="DQ26" s="202" t="n"/>
      <c r="DR26" s="202" t="n"/>
      <c r="DS26" s="202" t="n"/>
      <c r="DT26" s="202" t="n"/>
      <c r="DU26" s="202" t="n"/>
      <c r="DV26" s="202" t="n"/>
      <c r="DW26" s="202" t="n"/>
      <c r="DX26" s="202" t="n"/>
      <c r="DY26" s="202" t="n"/>
      <c r="DZ26" s="202" t="n"/>
      <c r="EA26" s="202" t="n"/>
      <c r="EB26" s="202" t="n"/>
      <c r="EC26" s="202" t="n"/>
      <c r="ED26" s="202" t="n"/>
      <c r="EE26" s="202" t="n"/>
      <c r="EF26" s="202" t="n"/>
      <c r="EG26" s="202" t="n"/>
      <c r="EH26" s="202" t="n"/>
      <c r="EI26" s="202" t="n"/>
      <c r="EJ26" s="202" t="n"/>
      <c r="EK26" s="202" t="n"/>
      <c r="EL26" s="202" t="n"/>
      <c r="EM26" s="202" t="n"/>
      <c r="EN26" s="202" t="n"/>
      <c r="EO26" s="202" t="n"/>
      <c r="EP26" s="202" t="n"/>
      <c r="EQ26" s="202" t="n"/>
      <c r="ER26" s="202" t="n"/>
      <c r="ES26" s="202" t="n"/>
      <c r="ET26" s="202" t="n"/>
      <c r="EU26" s="202" t="n"/>
      <c r="EV26" s="202" t="n"/>
      <c r="EW26" s="202" t="n"/>
      <c r="EX26" s="202" t="n"/>
      <c r="EY26" s="202" t="n"/>
      <c r="EZ26" s="202" t="n"/>
      <c r="FA26" s="202" t="n"/>
      <c r="FB26" s="202" t="n"/>
      <c r="FC26" s="202" t="n"/>
      <c r="FD26" s="202" t="n"/>
      <c r="FE26" s="202" t="n"/>
      <c r="FF26" s="202" t="n"/>
      <c r="FG26" s="202" t="n"/>
      <c r="FH26" s="202" t="n"/>
      <c r="FI26" s="202" t="n"/>
      <c r="FJ26" s="202" t="n"/>
      <c r="FK26" s="202" t="n"/>
      <c r="FL26" s="202" t="n"/>
      <c r="FM26" s="202" t="n"/>
      <c r="FN26" s="202" t="n"/>
      <c r="FO26" s="202" t="n"/>
      <c r="FP26" s="202" t="n"/>
      <c r="FQ26" s="202" t="n"/>
      <c r="FR26" s="202" t="n"/>
      <c r="FS26" s="202" t="n"/>
      <c r="FT26" s="202" t="n"/>
      <c r="FU26" s="202" t="n"/>
      <c r="FV26" s="202" t="n"/>
      <c r="FW26" s="202" t="n"/>
      <c r="FX26" s="202" t="n"/>
      <c r="FY26" s="202" t="n"/>
      <c r="FZ26" s="202" t="n"/>
      <c r="GA26" s="202" t="n"/>
      <c r="GB26" s="202" t="n"/>
      <c r="GC26" s="202" t="n"/>
      <c r="GD26" s="202" t="n"/>
      <c r="GE26" s="202" t="n"/>
      <c r="GF26" s="202" t="n"/>
      <c r="GG26" s="202" t="n"/>
      <c r="GH26" s="202" t="n"/>
      <c r="GI26" s="202" t="n"/>
      <c r="GJ26" s="202" t="n"/>
      <c r="GK26" s="202" t="n"/>
      <c r="GL26" s="202" t="n"/>
      <c r="GM26" s="202" t="n"/>
      <c r="GN26" s="202" t="n"/>
      <c r="GO26" s="202" t="n"/>
      <c r="GP26" s="202" t="n"/>
      <c r="GQ26" s="202" t="n"/>
      <c r="GR26" s="202" t="n"/>
      <c r="GS26" s="202" t="n"/>
      <c r="GT26" s="202" t="n"/>
      <c r="GU26" s="202" t="n"/>
      <c r="GV26" s="202" t="n"/>
      <c r="GW26" s="202" t="n"/>
      <c r="GX26" s="202" t="n"/>
      <c r="GY26" s="202" t="n"/>
      <c r="GZ26" s="202" t="n"/>
      <c r="HA26" s="202" t="n"/>
      <c r="HB26" s="202" t="n"/>
      <c r="HC26" s="202" t="n"/>
      <c r="HD26" s="202" t="n"/>
      <c r="HE26" s="202" t="n"/>
      <c r="HF26" s="202" t="n"/>
      <c r="HG26" s="202" t="n"/>
      <c r="HH26" s="202" t="n"/>
      <c r="HI26" s="202" t="n"/>
      <c r="HJ26" s="202" t="n"/>
      <c r="HK26" s="202" t="n"/>
      <c r="HL26" s="202" t="n"/>
      <c r="HM26" s="202" t="n"/>
      <c r="HN26" s="202" t="n"/>
      <c r="HO26" s="202" t="n"/>
      <c r="HP26" s="202" t="n"/>
      <c r="HQ26" s="202" t="n"/>
      <c r="HR26" s="202" t="n"/>
      <c r="HS26" s="202" t="n"/>
      <c r="HT26" s="202" t="n"/>
      <c r="HU26" s="202" t="n"/>
      <c r="HV26" s="202" t="n"/>
      <c r="HW26" s="202" t="n"/>
      <c r="HX26" s="202" t="n"/>
      <c r="HY26" s="202" t="n"/>
      <c r="HZ26" s="202" t="n"/>
      <c r="IA26" s="202" t="n"/>
      <c r="IB26" s="202" t="n"/>
      <c r="IC26" s="202" t="n"/>
      <c r="ID26" s="202" t="n"/>
      <c r="IE26" s="202" t="n"/>
      <c r="IF26" s="202" t="n"/>
      <c r="IG26" s="202" t="n"/>
      <c r="IH26" s="202" t="n"/>
      <c r="II26" s="202" t="n"/>
      <c r="IJ26" s="202" t="n"/>
      <c r="IK26" s="202" t="n"/>
      <c r="IL26" s="202" t="n"/>
    </row>
    <row r="27" hidden="1" outlineLevel="1" ht="25" customFormat="1" customHeight="1" s="412">
      <c r="A27" s="239" t="inlineStr">
        <is>
          <t>3.2.8</t>
        </is>
      </c>
      <c r="B27" s="230" t="inlineStr">
        <is>
          <t>床帘轨、输液轨安装工程</t>
        </is>
      </c>
      <c r="C27" s="418" t="n"/>
      <c r="D27" s="232" t="inlineStr">
        <is>
          <t>套</t>
        </is>
      </c>
      <c r="E27" s="419" t="n"/>
      <c r="F27" s="382">
        <f>C27/E27*10000</f>
        <v/>
      </c>
      <c r="G27" s="234" t="inlineStr">
        <is>
          <t>医院床位数</t>
        </is>
      </c>
      <c r="H27" s="232" t="inlineStr">
        <is>
          <t>专业工程指标</t>
        </is>
      </c>
      <c r="I27" s="202" t="n"/>
      <c r="J27" s="202" t="n"/>
      <c r="K27" s="202" t="n"/>
      <c r="L27" s="202" t="n"/>
      <c r="M27" s="202" t="n"/>
      <c r="N27" s="202" t="n"/>
      <c r="O27" s="202" t="n"/>
      <c r="P27" s="202" t="n"/>
      <c r="Q27" s="202" t="n"/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  <c r="AA27" s="202" t="n"/>
      <c r="AB27" s="202" t="n"/>
      <c r="AC27" s="202" t="n"/>
      <c r="AD27" s="202" t="n"/>
      <c r="AE27" s="202" t="n"/>
      <c r="AF27" s="202" t="n"/>
      <c r="AG27" s="202" t="n"/>
      <c r="AH27" s="202" t="n"/>
      <c r="AI27" s="202" t="n"/>
      <c r="AJ27" s="202" t="n"/>
      <c r="AK27" s="202" t="n"/>
      <c r="AL27" s="202" t="n"/>
      <c r="AM27" s="202" t="n"/>
      <c r="AN27" s="202" t="n"/>
      <c r="AO27" s="202" t="n"/>
      <c r="AP27" s="202" t="n"/>
      <c r="AQ27" s="202" t="n"/>
      <c r="AR27" s="202" t="n"/>
      <c r="AS27" s="202" t="n"/>
      <c r="AT27" s="202" t="n"/>
      <c r="AU27" s="202" t="n"/>
      <c r="AV27" s="202" t="n"/>
      <c r="AW27" s="202" t="n"/>
      <c r="AX27" s="202" t="n"/>
      <c r="AY27" s="202" t="n"/>
      <c r="AZ27" s="202" t="n"/>
      <c r="BA27" s="202" t="n"/>
      <c r="BB27" s="202" t="n"/>
      <c r="BC27" s="202" t="n"/>
      <c r="BD27" s="202" t="n"/>
      <c r="BE27" s="202" t="n"/>
      <c r="BF27" s="202" t="n"/>
      <c r="BG27" s="202" t="n"/>
      <c r="BH27" s="202" t="n"/>
      <c r="BI27" s="202" t="n"/>
      <c r="BJ27" s="202" t="n"/>
      <c r="BK27" s="202" t="n"/>
      <c r="BL27" s="202" t="n"/>
      <c r="BM27" s="202" t="n"/>
      <c r="BN27" s="202" t="n"/>
      <c r="BO27" s="202" t="n"/>
      <c r="BP27" s="202" t="n"/>
      <c r="BQ27" s="202" t="n"/>
      <c r="BR27" s="202" t="n"/>
      <c r="BS27" s="202" t="n"/>
      <c r="BT27" s="202" t="n"/>
      <c r="BU27" s="202" t="n"/>
      <c r="BV27" s="202" t="n"/>
      <c r="BW27" s="202" t="n"/>
      <c r="BX27" s="202" t="n"/>
      <c r="BY27" s="202" t="n"/>
      <c r="BZ27" s="202" t="n"/>
      <c r="CA27" s="202" t="n"/>
      <c r="CB27" s="202" t="n"/>
      <c r="CC27" s="202" t="n"/>
      <c r="CD27" s="202" t="n"/>
      <c r="CE27" s="202" t="n"/>
      <c r="CF27" s="202" t="n"/>
      <c r="CG27" s="202" t="n"/>
      <c r="CH27" s="202" t="n"/>
      <c r="CI27" s="202" t="n"/>
      <c r="CJ27" s="202" t="n"/>
      <c r="CK27" s="202" t="n"/>
      <c r="CL27" s="202" t="n"/>
      <c r="CM27" s="202" t="n"/>
      <c r="CN27" s="202" t="n"/>
      <c r="CO27" s="202" t="n"/>
      <c r="CP27" s="202" t="n"/>
      <c r="CQ27" s="202" t="n"/>
      <c r="CR27" s="202" t="n"/>
      <c r="CS27" s="202" t="n"/>
      <c r="CT27" s="202" t="n"/>
      <c r="CU27" s="202" t="n"/>
      <c r="CV27" s="202" t="n"/>
      <c r="CW27" s="202" t="n"/>
      <c r="CX27" s="202" t="n"/>
      <c r="CY27" s="202" t="n"/>
      <c r="CZ27" s="202" t="n"/>
      <c r="DA27" s="202" t="n"/>
      <c r="DB27" s="202" t="n"/>
      <c r="DC27" s="202" t="n"/>
      <c r="DD27" s="202" t="n"/>
      <c r="DE27" s="202" t="n"/>
      <c r="DF27" s="202" t="n"/>
      <c r="DG27" s="202" t="n"/>
      <c r="DH27" s="202" t="n"/>
      <c r="DI27" s="202" t="n"/>
      <c r="DJ27" s="202" t="n"/>
      <c r="DK27" s="202" t="n"/>
      <c r="DL27" s="202" t="n"/>
      <c r="DM27" s="202" t="n"/>
      <c r="DN27" s="202" t="n"/>
      <c r="DO27" s="202" t="n"/>
      <c r="DP27" s="202" t="n"/>
      <c r="DQ27" s="202" t="n"/>
      <c r="DR27" s="202" t="n"/>
      <c r="DS27" s="202" t="n"/>
      <c r="DT27" s="202" t="n"/>
      <c r="DU27" s="202" t="n"/>
      <c r="DV27" s="202" t="n"/>
      <c r="DW27" s="202" t="n"/>
      <c r="DX27" s="202" t="n"/>
      <c r="DY27" s="202" t="n"/>
      <c r="DZ27" s="202" t="n"/>
      <c r="EA27" s="202" t="n"/>
      <c r="EB27" s="202" t="n"/>
      <c r="EC27" s="202" t="n"/>
      <c r="ED27" s="202" t="n"/>
      <c r="EE27" s="202" t="n"/>
      <c r="EF27" s="202" t="n"/>
      <c r="EG27" s="202" t="n"/>
      <c r="EH27" s="202" t="n"/>
      <c r="EI27" s="202" t="n"/>
      <c r="EJ27" s="202" t="n"/>
      <c r="EK27" s="202" t="n"/>
      <c r="EL27" s="202" t="n"/>
      <c r="EM27" s="202" t="n"/>
      <c r="EN27" s="202" t="n"/>
      <c r="EO27" s="202" t="n"/>
      <c r="EP27" s="202" t="n"/>
      <c r="EQ27" s="202" t="n"/>
      <c r="ER27" s="202" t="n"/>
      <c r="ES27" s="202" t="n"/>
      <c r="ET27" s="202" t="n"/>
      <c r="EU27" s="202" t="n"/>
      <c r="EV27" s="202" t="n"/>
      <c r="EW27" s="202" t="n"/>
      <c r="EX27" s="202" t="n"/>
      <c r="EY27" s="202" t="n"/>
      <c r="EZ27" s="202" t="n"/>
      <c r="FA27" s="202" t="n"/>
      <c r="FB27" s="202" t="n"/>
      <c r="FC27" s="202" t="n"/>
      <c r="FD27" s="202" t="n"/>
      <c r="FE27" s="202" t="n"/>
      <c r="FF27" s="202" t="n"/>
      <c r="FG27" s="202" t="n"/>
      <c r="FH27" s="202" t="n"/>
      <c r="FI27" s="202" t="n"/>
      <c r="FJ27" s="202" t="n"/>
      <c r="FK27" s="202" t="n"/>
      <c r="FL27" s="202" t="n"/>
      <c r="FM27" s="202" t="n"/>
      <c r="FN27" s="202" t="n"/>
      <c r="FO27" s="202" t="n"/>
      <c r="FP27" s="202" t="n"/>
      <c r="FQ27" s="202" t="n"/>
      <c r="FR27" s="202" t="n"/>
      <c r="FS27" s="202" t="n"/>
      <c r="FT27" s="202" t="n"/>
      <c r="FU27" s="202" t="n"/>
      <c r="FV27" s="202" t="n"/>
      <c r="FW27" s="202" t="n"/>
      <c r="FX27" s="202" t="n"/>
      <c r="FY27" s="202" t="n"/>
      <c r="FZ27" s="202" t="n"/>
      <c r="GA27" s="202" t="n"/>
      <c r="GB27" s="202" t="n"/>
      <c r="GC27" s="202" t="n"/>
      <c r="GD27" s="202" t="n"/>
      <c r="GE27" s="202" t="n"/>
      <c r="GF27" s="202" t="n"/>
      <c r="GG27" s="202" t="n"/>
      <c r="GH27" s="202" t="n"/>
      <c r="GI27" s="202" t="n"/>
      <c r="GJ27" s="202" t="n"/>
      <c r="GK27" s="202" t="n"/>
      <c r="GL27" s="202" t="n"/>
      <c r="GM27" s="202" t="n"/>
      <c r="GN27" s="202" t="n"/>
      <c r="GO27" s="202" t="n"/>
      <c r="GP27" s="202" t="n"/>
      <c r="GQ27" s="202" t="n"/>
      <c r="GR27" s="202" t="n"/>
      <c r="GS27" s="202" t="n"/>
      <c r="GT27" s="202" t="n"/>
      <c r="GU27" s="202" t="n"/>
      <c r="GV27" s="202" t="n"/>
      <c r="GW27" s="202" t="n"/>
      <c r="GX27" s="202" t="n"/>
      <c r="GY27" s="202" t="n"/>
      <c r="GZ27" s="202" t="n"/>
      <c r="HA27" s="202" t="n"/>
      <c r="HB27" s="202" t="n"/>
      <c r="HC27" s="202" t="n"/>
      <c r="HD27" s="202" t="n"/>
      <c r="HE27" s="202" t="n"/>
      <c r="HF27" s="202" t="n"/>
      <c r="HG27" s="202" t="n"/>
      <c r="HH27" s="202" t="n"/>
      <c r="HI27" s="202" t="n"/>
      <c r="HJ27" s="202" t="n"/>
      <c r="HK27" s="202" t="n"/>
      <c r="HL27" s="202" t="n"/>
      <c r="HM27" s="202" t="n"/>
      <c r="HN27" s="202" t="n"/>
      <c r="HO27" s="202" t="n"/>
      <c r="HP27" s="202" t="n"/>
      <c r="HQ27" s="202" t="n"/>
      <c r="HR27" s="202" t="n"/>
      <c r="HS27" s="202" t="n"/>
      <c r="HT27" s="202" t="n"/>
      <c r="HU27" s="202" t="n"/>
      <c r="HV27" s="202" t="n"/>
      <c r="HW27" s="202" t="n"/>
      <c r="HX27" s="202" t="n"/>
      <c r="HY27" s="202" t="n"/>
      <c r="HZ27" s="202" t="n"/>
      <c r="IA27" s="202" t="n"/>
      <c r="IB27" s="202" t="n"/>
      <c r="IC27" s="202" t="n"/>
      <c r="ID27" s="202" t="n"/>
      <c r="IE27" s="202" t="n"/>
      <c r="IF27" s="202" t="n"/>
      <c r="IG27" s="202" t="n"/>
      <c r="IH27" s="202" t="n"/>
      <c r="II27" s="202" t="n"/>
      <c r="IJ27" s="202" t="n"/>
      <c r="IK27" s="202" t="n"/>
      <c r="IL27" s="202" t="n"/>
    </row>
    <row r="28" hidden="1" outlineLevel="1" ht="25" customFormat="1" customHeight="1" s="412">
      <c r="A28" s="239" t="inlineStr">
        <is>
          <t>3.2.9</t>
        </is>
      </c>
      <c r="B28" s="230" t="inlineStr">
        <is>
          <t>医疗智能化工程</t>
        </is>
      </c>
      <c r="C28" s="418" t="n"/>
      <c r="D28" s="232" t="inlineStr">
        <is>
          <t>㎡</t>
        </is>
      </c>
      <c r="E28" s="419" t="n"/>
      <c r="F28" s="382">
        <f>C28/E28*10000</f>
        <v/>
      </c>
      <c r="G28" s="234" t="inlineStr">
        <is>
          <t>区域建筑面积</t>
        </is>
      </c>
      <c r="H28" s="232" t="inlineStr">
        <is>
          <t>专业工程指标</t>
        </is>
      </c>
      <c r="I28" s="202" t="n"/>
      <c r="J28" s="202" t="n"/>
      <c r="K28" s="202" t="n"/>
      <c r="L28" s="202" t="n"/>
      <c r="M28" s="202" t="n"/>
      <c r="N28" s="202" t="n"/>
      <c r="O28" s="202" t="n"/>
      <c r="P28" s="202" t="n"/>
      <c r="Q28" s="202" t="n"/>
      <c r="R28" s="202" t="n"/>
      <c r="S28" s="202" t="n"/>
      <c r="T28" s="202" t="n"/>
      <c r="U28" s="202" t="n"/>
      <c r="V28" s="202" t="n"/>
      <c r="W28" s="202" t="n"/>
      <c r="X28" s="202" t="n"/>
      <c r="Y28" s="202" t="n"/>
      <c r="Z28" s="202" t="n"/>
      <c r="AA28" s="202" t="n"/>
      <c r="AB28" s="202" t="n"/>
      <c r="AC28" s="202" t="n"/>
      <c r="AD28" s="202" t="n"/>
      <c r="AE28" s="202" t="n"/>
      <c r="AF28" s="202" t="n"/>
      <c r="AG28" s="202" t="n"/>
      <c r="AH28" s="202" t="n"/>
      <c r="AI28" s="202" t="n"/>
      <c r="AJ28" s="202" t="n"/>
      <c r="AK28" s="202" t="n"/>
      <c r="AL28" s="202" t="n"/>
      <c r="AM28" s="202" t="n"/>
      <c r="AN28" s="202" t="n"/>
      <c r="AO28" s="202" t="n"/>
      <c r="AP28" s="202" t="n"/>
      <c r="AQ28" s="202" t="n"/>
      <c r="AR28" s="202" t="n"/>
      <c r="AS28" s="202" t="n"/>
      <c r="AT28" s="202" t="n"/>
      <c r="AU28" s="202" t="n"/>
      <c r="AV28" s="202" t="n"/>
      <c r="AW28" s="202" t="n"/>
      <c r="AX28" s="202" t="n"/>
      <c r="AY28" s="202" t="n"/>
      <c r="AZ28" s="202" t="n"/>
      <c r="BA28" s="202" t="n"/>
      <c r="BB28" s="202" t="n"/>
      <c r="BC28" s="202" t="n"/>
      <c r="BD28" s="202" t="n"/>
      <c r="BE28" s="202" t="n"/>
      <c r="BF28" s="202" t="n"/>
      <c r="BG28" s="202" t="n"/>
      <c r="BH28" s="202" t="n"/>
      <c r="BI28" s="202" t="n"/>
      <c r="BJ28" s="202" t="n"/>
      <c r="BK28" s="202" t="n"/>
      <c r="BL28" s="202" t="n"/>
      <c r="BM28" s="202" t="n"/>
      <c r="BN28" s="202" t="n"/>
      <c r="BO28" s="202" t="n"/>
      <c r="BP28" s="202" t="n"/>
      <c r="BQ28" s="202" t="n"/>
      <c r="BR28" s="202" t="n"/>
      <c r="BS28" s="202" t="n"/>
      <c r="BT28" s="202" t="n"/>
      <c r="BU28" s="202" t="n"/>
      <c r="BV28" s="202" t="n"/>
      <c r="BW28" s="202" t="n"/>
      <c r="BX28" s="202" t="n"/>
      <c r="BY28" s="202" t="n"/>
      <c r="BZ28" s="202" t="n"/>
      <c r="CA28" s="202" t="n"/>
      <c r="CB28" s="202" t="n"/>
      <c r="CC28" s="202" t="n"/>
      <c r="CD28" s="202" t="n"/>
      <c r="CE28" s="202" t="n"/>
      <c r="CF28" s="202" t="n"/>
      <c r="CG28" s="202" t="n"/>
      <c r="CH28" s="202" t="n"/>
      <c r="CI28" s="202" t="n"/>
      <c r="CJ28" s="202" t="n"/>
      <c r="CK28" s="202" t="n"/>
      <c r="CL28" s="202" t="n"/>
      <c r="CM28" s="202" t="n"/>
      <c r="CN28" s="202" t="n"/>
      <c r="CO28" s="202" t="n"/>
      <c r="CP28" s="202" t="n"/>
      <c r="CQ28" s="202" t="n"/>
      <c r="CR28" s="202" t="n"/>
      <c r="CS28" s="202" t="n"/>
      <c r="CT28" s="202" t="n"/>
      <c r="CU28" s="202" t="n"/>
      <c r="CV28" s="202" t="n"/>
      <c r="CW28" s="202" t="n"/>
      <c r="CX28" s="202" t="n"/>
      <c r="CY28" s="202" t="n"/>
      <c r="CZ28" s="202" t="n"/>
      <c r="DA28" s="202" t="n"/>
      <c r="DB28" s="202" t="n"/>
      <c r="DC28" s="202" t="n"/>
      <c r="DD28" s="202" t="n"/>
      <c r="DE28" s="202" t="n"/>
      <c r="DF28" s="202" t="n"/>
      <c r="DG28" s="202" t="n"/>
      <c r="DH28" s="202" t="n"/>
      <c r="DI28" s="202" t="n"/>
      <c r="DJ28" s="202" t="n"/>
      <c r="DK28" s="202" t="n"/>
      <c r="DL28" s="202" t="n"/>
      <c r="DM28" s="202" t="n"/>
      <c r="DN28" s="202" t="n"/>
      <c r="DO28" s="202" t="n"/>
      <c r="DP28" s="202" t="n"/>
      <c r="DQ28" s="202" t="n"/>
      <c r="DR28" s="202" t="n"/>
      <c r="DS28" s="202" t="n"/>
      <c r="DT28" s="202" t="n"/>
      <c r="DU28" s="202" t="n"/>
      <c r="DV28" s="202" t="n"/>
      <c r="DW28" s="202" t="n"/>
      <c r="DX28" s="202" t="n"/>
      <c r="DY28" s="202" t="n"/>
      <c r="DZ28" s="202" t="n"/>
      <c r="EA28" s="202" t="n"/>
      <c r="EB28" s="202" t="n"/>
      <c r="EC28" s="202" t="n"/>
      <c r="ED28" s="202" t="n"/>
      <c r="EE28" s="202" t="n"/>
      <c r="EF28" s="202" t="n"/>
      <c r="EG28" s="202" t="n"/>
      <c r="EH28" s="202" t="n"/>
      <c r="EI28" s="202" t="n"/>
      <c r="EJ28" s="202" t="n"/>
      <c r="EK28" s="202" t="n"/>
      <c r="EL28" s="202" t="n"/>
      <c r="EM28" s="202" t="n"/>
      <c r="EN28" s="202" t="n"/>
      <c r="EO28" s="202" t="n"/>
      <c r="EP28" s="202" t="n"/>
      <c r="EQ28" s="202" t="n"/>
      <c r="ER28" s="202" t="n"/>
      <c r="ES28" s="202" t="n"/>
      <c r="ET28" s="202" t="n"/>
      <c r="EU28" s="202" t="n"/>
      <c r="EV28" s="202" t="n"/>
      <c r="EW28" s="202" t="n"/>
      <c r="EX28" s="202" t="n"/>
      <c r="EY28" s="202" t="n"/>
      <c r="EZ28" s="202" t="n"/>
      <c r="FA28" s="202" t="n"/>
      <c r="FB28" s="202" t="n"/>
      <c r="FC28" s="202" t="n"/>
      <c r="FD28" s="202" t="n"/>
      <c r="FE28" s="202" t="n"/>
      <c r="FF28" s="202" t="n"/>
      <c r="FG28" s="202" t="n"/>
      <c r="FH28" s="202" t="n"/>
      <c r="FI28" s="202" t="n"/>
      <c r="FJ28" s="202" t="n"/>
      <c r="FK28" s="202" t="n"/>
      <c r="FL28" s="202" t="n"/>
      <c r="FM28" s="202" t="n"/>
      <c r="FN28" s="202" t="n"/>
      <c r="FO28" s="202" t="n"/>
      <c r="FP28" s="202" t="n"/>
      <c r="FQ28" s="202" t="n"/>
      <c r="FR28" s="202" t="n"/>
      <c r="FS28" s="202" t="n"/>
      <c r="FT28" s="202" t="n"/>
      <c r="FU28" s="202" t="n"/>
      <c r="FV28" s="202" t="n"/>
      <c r="FW28" s="202" t="n"/>
      <c r="FX28" s="202" t="n"/>
      <c r="FY28" s="202" t="n"/>
      <c r="FZ28" s="202" t="n"/>
      <c r="GA28" s="202" t="n"/>
      <c r="GB28" s="202" t="n"/>
      <c r="GC28" s="202" t="n"/>
      <c r="GD28" s="202" t="n"/>
      <c r="GE28" s="202" t="n"/>
      <c r="GF28" s="202" t="n"/>
      <c r="GG28" s="202" t="n"/>
      <c r="GH28" s="202" t="n"/>
      <c r="GI28" s="202" t="n"/>
      <c r="GJ28" s="202" t="n"/>
      <c r="GK28" s="202" t="n"/>
      <c r="GL28" s="202" t="n"/>
      <c r="GM28" s="202" t="n"/>
      <c r="GN28" s="202" t="n"/>
      <c r="GO28" s="202" t="n"/>
      <c r="GP28" s="202" t="n"/>
      <c r="GQ28" s="202" t="n"/>
      <c r="GR28" s="202" t="n"/>
      <c r="GS28" s="202" t="n"/>
      <c r="GT28" s="202" t="n"/>
      <c r="GU28" s="202" t="n"/>
      <c r="GV28" s="202" t="n"/>
      <c r="GW28" s="202" t="n"/>
      <c r="GX28" s="202" t="n"/>
      <c r="GY28" s="202" t="n"/>
      <c r="GZ28" s="202" t="n"/>
      <c r="HA28" s="202" t="n"/>
      <c r="HB28" s="202" t="n"/>
      <c r="HC28" s="202" t="n"/>
      <c r="HD28" s="202" t="n"/>
      <c r="HE28" s="202" t="n"/>
      <c r="HF28" s="202" t="n"/>
      <c r="HG28" s="202" t="n"/>
      <c r="HH28" s="202" t="n"/>
      <c r="HI28" s="202" t="n"/>
      <c r="HJ28" s="202" t="n"/>
      <c r="HK28" s="202" t="n"/>
      <c r="HL28" s="202" t="n"/>
      <c r="HM28" s="202" t="n"/>
      <c r="HN28" s="202" t="n"/>
      <c r="HO28" s="202" t="n"/>
      <c r="HP28" s="202" t="n"/>
      <c r="HQ28" s="202" t="n"/>
      <c r="HR28" s="202" t="n"/>
      <c r="HS28" s="202" t="n"/>
      <c r="HT28" s="202" t="n"/>
      <c r="HU28" s="202" t="n"/>
      <c r="HV28" s="202" t="n"/>
      <c r="HW28" s="202" t="n"/>
      <c r="HX28" s="202" t="n"/>
      <c r="HY28" s="202" t="n"/>
      <c r="HZ28" s="202" t="n"/>
      <c r="IA28" s="202" t="n"/>
      <c r="IB28" s="202" t="n"/>
      <c r="IC28" s="202" t="n"/>
      <c r="ID28" s="202" t="n"/>
      <c r="IE28" s="202" t="n"/>
      <c r="IF28" s="202" t="n"/>
      <c r="IG28" s="202" t="n"/>
      <c r="IH28" s="202" t="n"/>
      <c r="II28" s="202" t="n"/>
      <c r="IJ28" s="202" t="n"/>
      <c r="IK28" s="202" t="n"/>
      <c r="IL28" s="202" t="n"/>
    </row>
    <row r="29" collapsed="1" ht="25" customFormat="1" customHeight="1" s="412">
      <c r="A29" s="235" t="n">
        <v>3.3</v>
      </c>
      <c r="B29" s="236" t="inlineStr">
        <is>
          <t>教育专项工程</t>
        </is>
      </c>
      <c r="C29" s="237">
        <f>SUM(C30:C34)</f>
        <v/>
      </c>
      <c r="D29" s="238" t="inlineStr">
        <is>
          <t>㎡</t>
        </is>
      </c>
      <c r="E29" s="417" t="n"/>
      <c r="F29" s="417">
        <f>C29/E29*10000</f>
        <v/>
      </c>
      <c r="G29" s="228" t="inlineStr">
        <is>
          <t>区域建筑面积</t>
        </is>
      </c>
      <c r="H29" s="238" t="inlineStr">
        <is>
          <t>专业工程指标</t>
        </is>
      </c>
      <c r="I29" s="202" t="n"/>
      <c r="J29" s="202" t="n"/>
      <c r="K29" s="202" t="n"/>
      <c r="L29" s="202" t="n"/>
      <c r="M29" s="202" t="n"/>
      <c r="N29" s="202" t="n"/>
      <c r="O29" s="202" t="n"/>
      <c r="P29" s="202" t="n"/>
      <c r="Q29" s="202" t="n"/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2" t="n"/>
      <c r="AF29" s="202" t="n"/>
      <c r="AG29" s="202" t="n"/>
      <c r="AH29" s="202" t="n"/>
      <c r="AI29" s="202" t="n"/>
      <c r="AJ29" s="202" t="n"/>
      <c r="AK29" s="202" t="n"/>
      <c r="AL29" s="202" t="n"/>
      <c r="AM29" s="202" t="n"/>
      <c r="AN29" s="202" t="n"/>
      <c r="AO29" s="202" t="n"/>
      <c r="AP29" s="202" t="n"/>
      <c r="AQ29" s="202" t="n"/>
      <c r="AR29" s="202" t="n"/>
      <c r="AS29" s="202" t="n"/>
      <c r="AT29" s="202" t="n"/>
      <c r="AU29" s="202" t="n"/>
      <c r="AV29" s="202" t="n"/>
      <c r="AW29" s="202" t="n"/>
      <c r="AX29" s="202" t="n"/>
      <c r="AY29" s="202" t="n"/>
      <c r="AZ29" s="202" t="n"/>
      <c r="BA29" s="202" t="n"/>
      <c r="BB29" s="202" t="n"/>
      <c r="BC29" s="202" t="n"/>
      <c r="BD29" s="202" t="n"/>
      <c r="BE29" s="202" t="n"/>
      <c r="BF29" s="202" t="n"/>
      <c r="BG29" s="202" t="n"/>
      <c r="BH29" s="202" t="n"/>
      <c r="BI29" s="202" t="n"/>
      <c r="BJ29" s="202" t="n"/>
      <c r="BK29" s="202" t="n"/>
      <c r="BL29" s="202" t="n"/>
      <c r="BM29" s="202" t="n"/>
      <c r="BN29" s="202" t="n"/>
      <c r="BO29" s="202" t="n"/>
      <c r="BP29" s="202" t="n"/>
      <c r="BQ29" s="202" t="n"/>
      <c r="BR29" s="202" t="n"/>
      <c r="BS29" s="202" t="n"/>
      <c r="BT29" s="202" t="n"/>
      <c r="BU29" s="202" t="n"/>
      <c r="BV29" s="202" t="n"/>
      <c r="BW29" s="202" t="n"/>
      <c r="BX29" s="202" t="n"/>
      <c r="BY29" s="202" t="n"/>
      <c r="BZ29" s="202" t="n"/>
      <c r="CA29" s="202" t="n"/>
      <c r="CB29" s="202" t="n"/>
      <c r="CC29" s="202" t="n"/>
      <c r="CD29" s="202" t="n"/>
      <c r="CE29" s="202" t="n"/>
      <c r="CF29" s="202" t="n"/>
      <c r="CG29" s="202" t="n"/>
      <c r="CH29" s="202" t="n"/>
      <c r="CI29" s="202" t="n"/>
      <c r="CJ29" s="202" t="n"/>
      <c r="CK29" s="202" t="n"/>
      <c r="CL29" s="202" t="n"/>
      <c r="CM29" s="202" t="n"/>
      <c r="CN29" s="202" t="n"/>
      <c r="CO29" s="202" t="n"/>
      <c r="CP29" s="202" t="n"/>
      <c r="CQ29" s="202" t="n"/>
      <c r="CR29" s="202" t="n"/>
      <c r="CS29" s="202" t="n"/>
      <c r="CT29" s="202" t="n"/>
      <c r="CU29" s="202" t="n"/>
      <c r="CV29" s="202" t="n"/>
      <c r="CW29" s="202" t="n"/>
      <c r="CX29" s="202" t="n"/>
      <c r="CY29" s="202" t="n"/>
      <c r="CZ29" s="202" t="n"/>
      <c r="DA29" s="202" t="n"/>
      <c r="DB29" s="202" t="n"/>
      <c r="DC29" s="202" t="n"/>
      <c r="DD29" s="202" t="n"/>
      <c r="DE29" s="202" t="n"/>
      <c r="DF29" s="202" t="n"/>
      <c r="DG29" s="202" t="n"/>
      <c r="DH29" s="202" t="n"/>
      <c r="DI29" s="202" t="n"/>
      <c r="DJ29" s="202" t="n"/>
      <c r="DK29" s="202" t="n"/>
      <c r="DL29" s="202" t="n"/>
      <c r="DM29" s="202" t="n"/>
      <c r="DN29" s="202" t="n"/>
      <c r="DO29" s="202" t="n"/>
      <c r="DP29" s="202" t="n"/>
      <c r="DQ29" s="202" t="n"/>
      <c r="DR29" s="202" t="n"/>
      <c r="DS29" s="202" t="n"/>
      <c r="DT29" s="202" t="n"/>
      <c r="DU29" s="202" t="n"/>
      <c r="DV29" s="202" t="n"/>
      <c r="DW29" s="202" t="n"/>
      <c r="DX29" s="202" t="n"/>
      <c r="DY29" s="202" t="n"/>
      <c r="DZ29" s="202" t="n"/>
      <c r="EA29" s="202" t="n"/>
      <c r="EB29" s="202" t="n"/>
      <c r="EC29" s="202" t="n"/>
      <c r="ED29" s="202" t="n"/>
      <c r="EE29" s="202" t="n"/>
      <c r="EF29" s="202" t="n"/>
      <c r="EG29" s="202" t="n"/>
      <c r="EH29" s="202" t="n"/>
      <c r="EI29" s="202" t="n"/>
      <c r="EJ29" s="202" t="n"/>
      <c r="EK29" s="202" t="n"/>
      <c r="EL29" s="202" t="n"/>
      <c r="EM29" s="202" t="n"/>
      <c r="EN29" s="202" t="n"/>
      <c r="EO29" s="202" t="n"/>
      <c r="EP29" s="202" t="n"/>
      <c r="EQ29" s="202" t="n"/>
      <c r="ER29" s="202" t="n"/>
      <c r="ES29" s="202" t="n"/>
      <c r="ET29" s="202" t="n"/>
      <c r="EU29" s="202" t="n"/>
      <c r="EV29" s="202" t="n"/>
      <c r="EW29" s="202" t="n"/>
      <c r="EX29" s="202" t="n"/>
      <c r="EY29" s="202" t="n"/>
      <c r="EZ29" s="202" t="n"/>
      <c r="FA29" s="202" t="n"/>
      <c r="FB29" s="202" t="n"/>
      <c r="FC29" s="202" t="n"/>
      <c r="FD29" s="202" t="n"/>
      <c r="FE29" s="202" t="n"/>
      <c r="FF29" s="202" t="n"/>
      <c r="FG29" s="202" t="n"/>
      <c r="FH29" s="202" t="n"/>
      <c r="FI29" s="202" t="n"/>
      <c r="FJ29" s="202" t="n"/>
      <c r="FK29" s="202" t="n"/>
      <c r="FL29" s="202" t="n"/>
      <c r="FM29" s="202" t="n"/>
      <c r="FN29" s="202" t="n"/>
      <c r="FO29" s="202" t="n"/>
      <c r="FP29" s="202" t="n"/>
      <c r="FQ29" s="202" t="n"/>
      <c r="FR29" s="202" t="n"/>
      <c r="FS29" s="202" t="n"/>
      <c r="FT29" s="202" t="n"/>
      <c r="FU29" s="202" t="n"/>
      <c r="FV29" s="202" t="n"/>
      <c r="FW29" s="202" t="n"/>
      <c r="FX29" s="202" t="n"/>
      <c r="FY29" s="202" t="n"/>
      <c r="FZ29" s="202" t="n"/>
      <c r="GA29" s="202" t="n"/>
      <c r="GB29" s="202" t="n"/>
      <c r="GC29" s="202" t="n"/>
      <c r="GD29" s="202" t="n"/>
      <c r="GE29" s="202" t="n"/>
      <c r="GF29" s="202" t="n"/>
      <c r="GG29" s="202" t="n"/>
      <c r="GH29" s="202" t="n"/>
      <c r="GI29" s="202" t="n"/>
      <c r="GJ29" s="202" t="n"/>
      <c r="GK29" s="202" t="n"/>
      <c r="GL29" s="202" t="n"/>
      <c r="GM29" s="202" t="n"/>
      <c r="GN29" s="202" t="n"/>
      <c r="GO29" s="202" t="n"/>
      <c r="GP29" s="202" t="n"/>
      <c r="GQ29" s="202" t="n"/>
      <c r="GR29" s="202" t="n"/>
      <c r="GS29" s="202" t="n"/>
      <c r="GT29" s="202" t="n"/>
      <c r="GU29" s="202" t="n"/>
      <c r="GV29" s="202" t="n"/>
      <c r="GW29" s="202" t="n"/>
      <c r="GX29" s="202" t="n"/>
      <c r="GY29" s="202" t="n"/>
      <c r="GZ29" s="202" t="n"/>
      <c r="HA29" s="202" t="n"/>
      <c r="HB29" s="202" t="n"/>
      <c r="HC29" s="202" t="n"/>
      <c r="HD29" s="202" t="n"/>
      <c r="HE29" s="202" t="n"/>
      <c r="HF29" s="202" t="n"/>
      <c r="HG29" s="202" t="n"/>
      <c r="HH29" s="202" t="n"/>
      <c r="HI29" s="202" t="n"/>
      <c r="HJ29" s="202" t="n"/>
      <c r="HK29" s="202" t="n"/>
      <c r="HL29" s="202" t="n"/>
      <c r="HM29" s="202" t="n"/>
      <c r="HN29" s="202" t="n"/>
      <c r="HO29" s="202" t="n"/>
      <c r="HP29" s="202" t="n"/>
      <c r="HQ29" s="202" t="n"/>
      <c r="HR29" s="202" t="n"/>
      <c r="HS29" s="202" t="n"/>
      <c r="HT29" s="202" t="n"/>
      <c r="HU29" s="202" t="n"/>
      <c r="HV29" s="202" t="n"/>
      <c r="HW29" s="202" t="n"/>
      <c r="HX29" s="202" t="n"/>
      <c r="HY29" s="202" t="n"/>
      <c r="HZ29" s="202" t="n"/>
      <c r="IA29" s="202" t="n"/>
      <c r="IB29" s="202" t="n"/>
      <c r="IC29" s="202" t="n"/>
      <c r="ID29" s="202" t="n"/>
      <c r="IE29" s="202" t="n"/>
      <c r="IF29" s="202" t="n"/>
      <c r="IG29" s="202" t="n"/>
      <c r="IH29" s="202" t="n"/>
      <c r="II29" s="202" t="n"/>
      <c r="IJ29" s="202" t="n"/>
      <c r="IK29" s="202" t="n"/>
      <c r="IL29" s="202" t="n"/>
    </row>
    <row r="30" hidden="1" outlineLevel="1" ht="25" customFormat="1" customHeight="1" s="412">
      <c r="A30" s="239" t="inlineStr">
        <is>
          <t>3.3.1</t>
        </is>
      </c>
      <c r="B30" s="230" t="inlineStr">
        <is>
          <t>多媒体教学工程</t>
        </is>
      </c>
      <c r="C30" s="420" t="n"/>
      <c r="D30" s="232" t="inlineStr">
        <is>
          <t>间</t>
        </is>
      </c>
      <c r="E30" s="419" t="n"/>
      <c r="F30" s="382">
        <f>C30/E30*10000</f>
        <v/>
      </c>
      <c r="G30" s="234" t="inlineStr">
        <is>
          <t>多媒体教室数量</t>
        </is>
      </c>
      <c r="H30" s="232" t="inlineStr">
        <is>
          <t>专业工程指标</t>
        </is>
      </c>
      <c r="I30" s="202" t="n"/>
      <c r="J30" s="202" t="n"/>
      <c r="K30" s="202" t="n"/>
      <c r="L30" s="202" t="n"/>
      <c r="M30" s="202" t="n"/>
      <c r="N30" s="202" t="n"/>
      <c r="O30" s="202" t="n"/>
      <c r="P30" s="202" t="n"/>
      <c r="Q30" s="202" t="n"/>
      <c r="R30" s="202" t="n"/>
      <c r="S30" s="202" t="n"/>
      <c r="T30" s="202" t="n"/>
      <c r="U30" s="202" t="n"/>
      <c r="V30" s="202" t="n"/>
      <c r="W30" s="202" t="n"/>
      <c r="X30" s="202" t="n"/>
      <c r="Y30" s="202" t="n"/>
      <c r="Z30" s="202" t="n"/>
      <c r="AA30" s="202" t="n"/>
      <c r="AB30" s="202" t="n"/>
      <c r="AC30" s="202" t="n"/>
      <c r="AD30" s="202" t="n"/>
      <c r="AE30" s="202" t="n"/>
      <c r="AF30" s="202" t="n"/>
      <c r="AG30" s="202" t="n"/>
      <c r="AH30" s="202" t="n"/>
      <c r="AI30" s="202" t="n"/>
      <c r="AJ30" s="202" t="n"/>
      <c r="AK30" s="202" t="n"/>
      <c r="AL30" s="202" t="n"/>
      <c r="AM30" s="202" t="n"/>
      <c r="AN30" s="202" t="n"/>
      <c r="AO30" s="202" t="n"/>
      <c r="AP30" s="202" t="n"/>
      <c r="AQ30" s="202" t="n"/>
      <c r="AR30" s="202" t="n"/>
      <c r="AS30" s="202" t="n"/>
      <c r="AT30" s="202" t="n"/>
      <c r="AU30" s="202" t="n"/>
      <c r="AV30" s="202" t="n"/>
      <c r="AW30" s="202" t="n"/>
      <c r="AX30" s="202" t="n"/>
      <c r="AY30" s="202" t="n"/>
      <c r="AZ30" s="202" t="n"/>
      <c r="BA30" s="202" t="n"/>
      <c r="BB30" s="202" t="n"/>
      <c r="BC30" s="202" t="n"/>
      <c r="BD30" s="202" t="n"/>
      <c r="BE30" s="202" t="n"/>
      <c r="BF30" s="202" t="n"/>
      <c r="BG30" s="202" t="n"/>
      <c r="BH30" s="202" t="n"/>
      <c r="BI30" s="202" t="n"/>
      <c r="BJ30" s="202" t="n"/>
      <c r="BK30" s="202" t="n"/>
      <c r="BL30" s="202" t="n"/>
      <c r="BM30" s="202" t="n"/>
      <c r="BN30" s="202" t="n"/>
      <c r="BO30" s="202" t="n"/>
      <c r="BP30" s="202" t="n"/>
      <c r="BQ30" s="202" t="n"/>
      <c r="BR30" s="202" t="n"/>
      <c r="BS30" s="202" t="n"/>
      <c r="BT30" s="202" t="n"/>
      <c r="BU30" s="202" t="n"/>
      <c r="BV30" s="202" t="n"/>
      <c r="BW30" s="202" t="n"/>
      <c r="BX30" s="202" t="n"/>
      <c r="BY30" s="202" t="n"/>
      <c r="BZ30" s="202" t="n"/>
      <c r="CA30" s="202" t="n"/>
      <c r="CB30" s="202" t="n"/>
      <c r="CC30" s="202" t="n"/>
      <c r="CD30" s="202" t="n"/>
      <c r="CE30" s="202" t="n"/>
      <c r="CF30" s="202" t="n"/>
      <c r="CG30" s="202" t="n"/>
      <c r="CH30" s="202" t="n"/>
      <c r="CI30" s="202" t="n"/>
      <c r="CJ30" s="202" t="n"/>
      <c r="CK30" s="202" t="n"/>
      <c r="CL30" s="202" t="n"/>
      <c r="CM30" s="202" t="n"/>
      <c r="CN30" s="202" t="n"/>
      <c r="CO30" s="202" t="n"/>
      <c r="CP30" s="202" t="n"/>
      <c r="CQ30" s="202" t="n"/>
      <c r="CR30" s="202" t="n"/>
      <c r="CS30" s="202" t="n"/>
      <c r="CT30" s="202" t="n"/>
      <c r="CU30" s="202" t="n"/>
      <c r="CV30" s="202" t="n"/>
      <c r="CW30" s="202" t="n"/>
      <c r="CX30" s="202" t="n"/>
      <c r="CY30" s="202" t="n"/>
      <c r="CZ30" s="202" t="n"/>
      <c r="DA30" s="202" t="n"/>
      <c r="DB30" s="202" t="n"/>
      <c r="DC30" s="202" t="n"/>
      <c r="DD30" s="202" t="n"/>
      <c r="DE30" s="202" t="n"/>
      <c r="DF30" s="202" t="n"/>
      <c r="DG30" s="202" t="n"/>
      <c r="DH30" s="202" t="n"/>
      <c r="DI30" s="202" t="n"/>
      <c r="DJ30" s="202" t="n"/>
      <c r="DK30" s="202" t="n"/>
      <c r="DL30" s="202" t="n"/>
      <c r="DM30" s="202" t="n"/>
      <c r="DN30" s="202" t="n"/>
      <c r="DO30" s="202" t="n"/>
      <c r="DP30" s="202" t="n"/>
      <c r="DQ30" s="202" t="n"/>
      <c r="DR30" s="202" t="n"/>
      <c r="DS30" s="202" t="n"/>
      <c r="DT30" s="202" t="n"/>
      <c r="DU30" s="202" t="n"/>
      <c r="DV30" s="202" t="n"/>
      <c r="DW30" s="202" t="n"/>
      <c r="DX30" s="202" t="n"/>
      <c r="DY30" s="202" t="n"/>
      <c r="DZ30" s="202" t="n"/>
      <c r="EA30" s="202" t="n"/>
      <c r="EB30" s="202" t="n"/>
      <c r="EC30" s="202" t="n"/>
      <c r="ED30" s="202" t="n"/>
      <c r="EE30" s="202" t="n"/>
      <c r="EF30" s="202" t="n"/>
      <c r="EG30" s="202" t="n"/>
      <c r="EH30" s="202" t="n"/>
      <c r="EI30" s="202" t="n"/>
      <c r="EJ30" s="202" t="n"/>
      <c r="EK30" s="202" t="n"/>
      <c r="EL30" s="202" t="n"/>
      <c r="EM30" s="202" t="n"/>
      <c r="EN30" s="202" t="n"/>
      <c r="EO30" s="202" t="n"/>
      <c r="EP30" s="202" t="n"/>
      <c r="EQ30" s="202" t="n"/>
      <c r="ER30" s="202" t="n"/>
      <c r="ES30" s="202" t="n"/>
      <c r="ET30" s="202" t="n"/>
      <c r="EU30" s="202" t="n"/>
      <c r="EV30" s="202" t="n"/>
      <c r="EW30" s="202" t="n"/>
      <c r="EX30" s="202" t="n"/>
      <c r="EY30" s="202" t="n"/>
      <c r="EZ30" s="202" t="n"/>
      <c r="FA30" s="202" t="n"/>
      <c r="FB30" s="202" t="n"/>
      <c r="FC30" s="202" t="n"/>
      <c r="FD30" s="202" t="n"/>
      <c r="FE30" s="202" t="n"/>
      <c r="FF30" s="202" t="n"/>
      <c r="FG30" s="202" t="n"/>
      <c r="FH30" s="202" t="n"/>
      <c r="FI30" s="202" t="n"/>
      <c r="FJ30" s="202" t="n"/>
      <c r="FK30" s="202" t="n"/>
      <c r="FL30" s="202" t="n"/>
      <c r="FM30" s="202" t="n"/>
      <c r="FN30" s="202" t="n"/>
      <c r="FO30" s="202" t="n"/>
      <c r="FP30" s="202" t="n"/>
      <c r="FQ30" s="202" t="n"/>
      <c r="FR30" s="202" t="n"/>
      <c r="FS30" s="202" t="n"/>
      <c r="FT30" s="202" t="n"/>
      <c r="FU30" s="202" t="n"/>
      <c r="FV30" s="202" t="n"/>
      <c r="FW30" s="202" t="n"/>
      <c r="FX30" s="202" t="n"/>
      <c r="FY30" s="202" t="n"/>
      <c r="FZ30" s="202" t="n"/>
      <c r="GA30" s="202" t="n"/>
      <c r="GB30" s="202" t="n"/>
      <c r="GC30" s="202" t="n"/>
      <c r="GD30" s="202" t="n"/>
      <c r="GE30" s="202" t="n"/>
      <c r="GF30" s="202" t="n"/>
      <c r="GG30" s="202" t="n"/>
      <c r="GH30" s="202" t="n"/>
      <c r="GI30" s="202" t="n"/>
      <c r="GJ30" s="202" t="n"/>
      <c r="GK30" s="202" t="n"/>
      <c r="GL30" s="202" t="n"/>
      <c r="GM30" s="202" t="n"/>
      <c r="GN30" s="202" t="n"/>
      <c r="GO30" s="202" t="n"/>
      <c r="GP30" s="202" t="n"/>
      <c r="GQ30" s="202" t="n"/>
      <c r="GR30" s="202" t="n"/>
      <c r="GS30" s="202" t="n"/>
      <c r="GT30" s="202" t="n"/>
      <c r="GU30" s="202" t="n"/>
      <c r="GV30" s="202" t="n"/>
      <c r="GW30" s="202" t="n"/>
      <c r="GX30" s="202" t="n"/>
      <c r="GY30" s="202" t="n"/>
      <c r="GZ30" s="202" t="n"/>
      <c r="HA30" s="202" t="n"/>
      <c r="HB30" s="202" t="n"/>
      <c r="HC30" s="202" t="n"/>
      <c r="HD30" s="202" t="n"/>
      <c r="HE30" s="202" t="n"/>
      <c r="HF30" s="202" t="n"/>
      <c r="HG30" s="202" t="n"/>
      <c r="HH30" s="202" t="n"/>
      <c r="HI30" s="202" t="n"/>
      <c r="HJ30" s="202" t="n"/>
      <c r="HK30" s="202" t="n"/>
      <c r="HL30" s="202" t="n"/>
      <c r="HM30" s="202" t="n"/>
      <c r="HN30" s="202" t="n"/>
      <c r="HO30" s="202" t="n"/>
      <c r="HP30" s="202" t="n"/>
      <c r="HQ30" s="202" t="n"/>
      <c r="HR30" s="202" t="n"/>
      <c r="HS30" s="202" t="n"/>
      <c r="HT30" s="202" t="n"/>
      <c r="HU30" s="202" t="n"/>
      <c r="HV30" s="202" t="n"/>
      <c r="HW30" s="202" t="n"/>
      <c r="HX30" s="202" t="n"/>
      <c r="HY30" s="202" t="n"/>
      <c r="HZ30" s="202" t="n"/>
      <c r="IA30" s="202" t="n"/>
      <c r="IB30" s="202" t="n"/>
      <c r="IC30" s="202" t="n"/>
      <c r="ID30" s="202" t="n"/>
      <c r="IE30" s="202" t="n"/>
      <c r="IF30" s="202" t="n"/>
      <c r="IG30" s="202" t="n"/>
      <c r="IH30" s="202" t="n"/>
      <c r="II30" s="202" t="n"/>
      <c r="IJ30" s="202" t="n"/>
      <c r="IK30" s="202" t="n"/>
      <c r="IL30" s="202" t="n"/>
    </row>
    <row r="31" hidden="1" outlineLevel="1" ht="25" customFormat="1" customHeight="1" s="412">
      <c r="A31" s="239" t="inlineStr">
        <is>
          <t>3.3.2</t>
        </is>
      </c>
      <c r="B31" s="230" t="inlineStr">
        <is>
          <t>录播系统工程</t>
        </is>
      </c>
      <c r="C31" s="420" t="n"/>
      <c r="D31" s="232" t="inlineStr">
        <is>
          <t>间</t>
        </is>
      </c>
      <c r="E31" s="419" t="n"/>
      <c r="F31" s="382">
        <f>C31/E31*10000</f>
        <v/>
      </c>
      <c r="G31" s="234" t="inlineStr">
        <is>
          <t>录播教室数量</t>
        </is>
      </c>
      <c r="H31" s="232" t="inlineStr">
        <is>
          <t>专业工程指标</t>
        </is>
      </c>
      <c r="I31" s="202" t="n"/>
      <c r="J31" s="202" t="n"/>
      <c r="K31" s="202" t="n"/>
      <c r="L31" s="202" t="n"/>
      <c r="M31" s="202" t="n"/>
      <c r="N31" s="202" t="n"/>
      <c r="O31" s="202" t="n"/>
      <c r="P31" s="202" t="n"/>
      <c r="Q31" s="202" t="n"/>
      <c r="R31" s="202" t="n"/>
      <c r="S31" s="202" t="n"/>
      <c r="T31" s="202" t="n"/>
      <c r="U31" s="202" t="n"/>
      <c r="V31" s="202" t="n"/>
      <c r="W31" s="202" t="n"/>
      <c r="X31" s="202" t="n"/>
      <c r="Y31" s="202" t="n"/>
      <c r="Z31" s="202" t="n"/>
      <c r="AA31" s="202" t="n"/>
      <c r="AB31" s="202" t="n"/>
      <c r="AC31" s="202" t="n"/>
      <c r="AD31" s="202" t="n"/>
      <c r="AE31" s="202" t="n"/>
      <c r="AF31" s="202" t="n"/>
      <c r="AG31" s="202" t="n"/>
      <c r="AH31" s="202" t="n"/>
      <c r="AI31" s="202" t="n"/>
      <c r="AJ31" s="202" t="n"/>
      <c r="AK31" s="202" t="n"/>
      <c r="AL31" s="202" t="n"/>
      <c r="AM31" s="202" t="n"/>
      <c r="AN31" s="202" t="n"/>
      <c r="AO31" s="202" t="n"/>
      <c r="AP31" s="202" t="n"/>
      <c r="AQ31" s="202" t="n"/>
      <c r="AR31" s="202" t="n"/>
      <c r="AS31" s="202" t="n"/>
      <c r="AT31" s="202" t="n"/>
      <c r="AU31" s="202" t="n"/>
      <c r="AV31" s="202" t="n"/>
      <c r="AW31" s="202" t="n"/>
      <c r="AX31" s="202" t="n"/>
      <c r="AY31" s="202" t="n"/>
      <c r="AZ31" s="202" t="n"/>
      <c r="BA31" s="202" t="n"/>
      <c r="BB31" s="202" t="n"/>
      <c r="BC31" s="202" t="n"/>
      <c r="BD31" s="202" t="n"/>
      <c r="BE31" s="202" t="n"/>
      <c r="BF31" s="202" t="n"/>
      <c r="BG31" s="202" t="n"/>
      <c r="BH31" s="202" t="n"/>
      <c r="BI31" s="202" t="n"/>
      <c r="BJ31" s="202" t="n"/>
      <c r="BK31" s="202" t="n"/>
      <c r="BL31" s="202" t="n"/>
      <c r="BM31" s="202" t="n"/>
      <c r="BN31" s="202" t="n"/>
      <c r="BO31" s="202" t="n"/>
      <c r="BP31" s="202" t="n"/>
      <c r="BQ31" s="202" t="n"/>
      <c r="BR31" s="202" t="n"/>
      <c r="BS31" s="202" t="n"/>
      <c r="BT31" s="202" t="n"/>
      <c r="BU31" s="202" t="n"/>
      <c r="BV31" s="202" t="n"/>
      <c r="BW31" s="202" t="n"/>
      <c r="BX31" s="202" t="n"/>
      <c r="BY31" s="202" t="n"/>
      <c r="BZ31" s="202" t="n"/>
      <c r="CA31" s="202" t="n"/>
      <c r="CB31" s="202" t="n"/>
      <c r="CC31" s="202" t="n"/>
      <c r="CD31" s="202" t="n"/>
      <c r="CE31" s="202" t="n"/>
      <c r="CF31" s="202" t="n"/>
      <c r="CG31" s="202" t="n"/>
      <c r="CH31" s="202" t="n"/>
      <c r="CI31" s="202" t="n"/>
      <c r="CJ31" s="202" t="n"/>
      <c r="CK31" s="202" t="n"/>
      <c r="CL31" s="202" t="n"/>
      <c r="CM31" s="202" t="n"/>
      <c r="CN31" s="202" t="n"/>
      <c r="CO31" s="202" t="n"/>
      <c r="CP31" s="202" t="n"/>
      <c r="CQ31" s="202" t="n"/>
      <c r="CR31" s="202" t="n"/>
      <c r="CS31" s="202" t="n"/>
      <c r="CT31" s="202" t="n"/>
      <c r="CU31" s="202" t="n"/>
      <c r="CV31" s="202" t="n"/>
      <c r="CW31" s="202" t="n"/>
      <c r="CX31" s="202" t="n"/>
      <c r="CY31" s="202" t="n"/>
      <c r="CZ31" s="202" t="n"/>
      <c r="DA31" s="202" t="n"/>
      <c r="DB31" s="202" t="n"/>
      <c r="DC31" s="202" t="n"/>
      <c r="DD31" s="202" t="n"/>
      <c r="DE31" s="202" t="n"/>
      <c r="DF31" s="202" t="n"/>
      <c r="DG31" s="202" t="n"/>
      <c r="DH31" s="202" t="n"/>
      <c r="DI31" s="202" t="n"/>
      <c r="DJ31" s="202" t="n"/>
      <c r="DK31" s="202" t="n"/>
      <c r="DL31" s="202" t="n"/>
      <c r="DM31" s="202" t="n"/>
      <c r="DN31" s="202" t="n"/>
      <c r="DO31" s="202" t="n"/>
      <c r="DP31" s="202" t="n"/>
      <c r="DQ31" s="202" t="n"/>
      <c r="DR31" s="202" t="n"/>
      <c r="DS31" s="202" t="n"/>
      <c r="DT31" s="202" t="n"/>
      <c r="DU31" s="202" t="n"/>
      <c r="DV31" s="202" t="n"/>
      <c r="DW31" s="202" t="n"/>
      <c r="DX31" s="202" t="n"/>
      <c r="DY31" s="202" t="n"/>
      <c r="DZ31" s="202" t="n"/>
      <c r="EA31" s="202" t="n"/>
      <c r="EB31" s="202" t="n"/>
      <c r="EC31" s="202" t="n"/>
      <c r="ED31" s="202" t="n"/>
      <c r="EE31" s="202" t="n"/>
      <c r="EF31" s="202" t="n"/>
      <c r="EG31" s="202" t="n"/>
      <c r="EH31" s="202" t="n"/>
      <c r="EI31" s="202" t="n"/>
      <c r="EJ31" s="202" t="n"/>
      <c r="EK31" s="202" t="n"/>
      <c r="EL31" s="202" t="n"/>
      <c r="EM31" s="202" t="n"/>
      <c r="EN31" s="202" t="n"/>
      <c r="EO31" s="202" t="n"/>
      <c r="EP31" s="202" t="n"/>
      <c r="EQ31" s="202" t="n"/>
      <c r="ER31" s="202" t="n"/>
      <c r="ES31" s="202" t="n"/>
      <c r="ET31" s="202" t="n"/>
      <c r="EU31" s="202" t="n"/>
      <c r="EV31" s="202" t="n"/>
      <c r="EW31" s="202" t="n"/>
      <c r="EX31" s="202" t="n"/>
      <c r="EY31" s="202" t="n"/>
      <c r="EZ31" s="202" t="n"/>
      <c r="FA31" s="202" t="n"/>
      <c r="FB31" s="202" t="n"/>
      <c r="FC31" s="202" t="n"/>
      <c r="FD31" s="202" t="n"/>
      <c r="FE31" s="202" t="n"/>
      <c r="FF31" s="202" t="n"/>
      <c r="FG31" s="202" t="n"/>
      <c r="FH31" s="202" t="n"/>
      <c r="FI31" s="202" t="n"/>
      <c r="FJ31" s="202" t="n"/>
      <c r="FK31" s="202" t="n"/>
      <c r="FL31" s="202" t="n"/>
      <c r="FM31" s="202" t="n"/>
      <c r="FN31" s="202" t="n"/>
      <c r="FO31" s="202" t="n"/>
      <c r="FP31" s="202" t="n"/>
      <c r="FQ31" s="202" t="n"/>
      <c r="FR31" s="202" t="n"/>
      <c r="FS31" s="202" t="n"/>
      <c r="FT31" s="202" t="n"/>
      <c r="FU31" s="202" t="n"/>
      <c r="FV31" s="202" t="n"/>
      <c r="FW31" s="202" t="n"/>
      <c r="FX31" s="202" t="n"/>
      <c r="FY31" s="202" t="n"/>
      <c r="FZ31" s="202" t="n"/>
      <c r="GA31" s="202" t="n"/>
      <c r="GB31" s="202" t="n"/>
      <c r="GC31" s="202" t="n"/>
      <c r="GD31" s="202" t="n"/>
      <c r="GE31" s="202" t="n"/>
      <c r="GF31" s="202" t="n"/>
      <c r="GG31" s="202" t="n"/>
      <c r="GH31" s="202" t="n"/>
      <c r="GI31" s="202" t="n"/>
      <c r="GJ31" s="202" t="n"/>
      <c r="GK31" s="202" t="n"/>
      <c r="GL31" s="202" t="n"/>
      <c r="GM31" s="202" t="n"/>
      <c r="GN31" s="202" t="n"/>
      <c r="GO31" s="202" t="n"/>
      <c r="GP31" s="202" t="n"/>
      <c r="GQ31" s="202" t="n"/>
      <c r="GR31" s="202" t="n"/>
      <c r="GS31" s="202" t="n"/>
      <c r="GT31" s="202" t="n"/>
      <c r="GU31" s="202" t="n"/>
      <c r="GV31" s="202" t="n"/>
      <c r="GW31" s="202" t="n"/>
      <c r="GX31" s="202" t="n"/>
      <c r="GY31" s="202" t="n"/>
      <c r="GZ31" s="202" t="n"/>
      <c r="HA31" s="202" t="n"/>
      <c r="HB31" s="202" t="n"/>
      <c r="HC31" s="202" t="n"/>
      <c r="HD31" s="202" t="n"/>
      <c r="HE31" s="202" t="n"/>
      <c r="HF31" s="202" t="n"/>
      <c r="HG31" s="202" t="n"/>
      <c r="HH31" s="202" t="n"/>
      <c r="HI31" s="202" t="n"/>
      <c r="HJ31" s="202" t="n"/>
      <c r="HK31" s="202" t="n"/>
      <c r="HL31" s="202" t="n"/>
      <c r="HM31" s="202" t="n"/>
      <c r="HN31" s="202" t="n"/>
      <c r="HO31" s="202" t="n"/>
      <c r="HP31" s="202" t="n"/>
      <c r="HQ31" s="202" t="n"/>
      <c r="HR31" s="202" t="n"/>
      <c r="HS31" s="202" t="n"/>
      <c r="HT31" s="202" t="n"/>
      <c r="HU31" s="202" t="n"/>
      <c r="HV31" s="202" t="n"/>
      <c r="HW31" s="202" t="n"/>
      <c r="HX31" s="202" t="n"/>
      <c r="HY31" s="202" t="n"/>
      <c r="HZ31" s="202" t="n"/>
      <c r="IA31" s="202" t="n"/>
      <c r="IB31" s="202" t="n"/>
      <c r="IC31" s="202" t="n"/>
      <c r="ID31" s="202" t="n"/>
      <c r="IE31" s="202" t="n"/>
      <c r="IF31" s="202" t="n"/>
      <c r="IG31" s="202" t="n"/>
      <c r="IH31" s="202" t="n"/>
      <c r="II31" s="202" t="n"/>
      <c r="IJ31" s="202" t="n"/>
      <c r="IK31" s="202" t="n"/>
      <c r="IL31" s="202" t="n"/>
    </row>
    <row r="32" hidden="1" outlineLevel="1" ht="25" customFormat="1" customHeight="1" s="412">
      <c r="A32" s="239" t="inlineStr">
        <is>
          <t>3.3.3</t>
        </is>
      </c>
      <c r="B32" s="230" t="inlineStr">
        <is>
          <t>校园广播工程</t>
        </is>
      </c>
      <c r="C32" s="420" t="n"/>
      <c r="D32" s="232" t="inlineStr">
        <is>
          <t>㎡</t>
        </is>
      </c>
      <c r="E32" s="419" t="n"/>
      <c r="F32" s="382">
        <f>C32/E32*10000</f>
        <v/>
      </c>
      <c r="G32" s="234" t="inlineStr">
        <is>
          <t>校园建筑面积</t>
        </is>
      </c>
      <c r="H32" s="232" t="inlineStr">
        <is>
          <t>专业工程指标</t>
        </is>
      </c>
      <c r="I32" s="202" t="n"/>
      <c r="J32" s="202" t="n"/>
      <c r="K32" s="202" t="n"/>
      <c r="L32" s="202" t="n"/>
      <c r="M32" s="202" t="n"/>
      <c r="N32" s="202" t="n"/>
      <c r="O32" s="202" t="n"/>
      <c r="P32" s="202" t="n"/>
      <c r="Q32" s="202" t="n"/>
      <c r="R32" s="202" t="n"/>
      <c r="S32" s="202" t="n"/>
      <c r="T32" s="202" t="n"/>
      <c r="U32" s="202" t="n"/>
      <c r="V32" s="202" t="n"/>
      <c r="W32" s="202" t="n"/>
      <c r="X32" s="202" t="n"/>
      <c r="Y32" s="202" t="n"/>
      <c r="Z32" s="202" t="n"/>
      <c r="AA32" s="202" t="n"/>
      <c r="AB32" s="202" t="n"/>
      <c r="AC32" s="202" t="n"/>
      <c r="AD32" s="202" t="n"/>
      <c r="AE32" s="202" t="n"/>
      <c r="AF32" s="202" t="n"/>
      <c r="AG32" s="202" t="n"/>
      <c r="AH32" s="202" t="n"/>
      <c r="AI32" s="202" t="n"/>
      <c r="AJ32" s="202" t="n"/>
      <c r="AK32" s="202" t="n"/>
      <c r="AL32" s="202" t="n"/>
      <c r="AM32" s="202" t="n"/>
      <c r="AN32" s="202" t="n"/>
      <c r="AO32" s="202" t="n"/>
      <c r="AP32" s="202" t="n"/>
      <c r="AQ32" s="202" t="n"/>
      <c r="AR32" s="202" t="n"/>
      <c r="AS32" s="202" t="n"/>
      <c r="AT32" s="202" t="n"/>
      <c r="AU32" s="202" t="n"/>
      <c r="AV32" s="202" t="n"/>
      <c r="AW32" s="202" t="n"/>
      <c r="AX32" s="202" t="n"/>
      <c r="AY32" s="202" t="n"/>
      <c r="AZ32" s="202" t="n"/>
      <c r="BA32" s="202" t="n"/>
      <c r="BB32" s="202" t="n"/>
      <c r="BC32" s="202" t="n"/>
      <c r="BD32" s="202" t="n"/>
      <c r="BE32" s="202" t="n"/>
      <c r="BF32" s="202" t="n"/>
      <c r="BG32" s="202" t="n"/>
      <c r="BH32" s="202" t="n"/>
      <c r="BI32" s="202" t="n"/>
      <c r="BJ32" s="202" t="n"/>
      <c r="BK32" s="202" t="n"/>
      <c r="BL32" s="202" t="n"/>
      <c r="BM32" s="202" t="n"/>
      <c r="BN32" s="202" t="n"/>
      <c r="BO32" s="202" t="n"/>
      <c r="BP32" s="202" t="n"/>
      <c r="BQ32" s="202" t="n"/>
      <c r="BR32" s="202" t="n"/>
      <c r="BS32" s="202" t="n"/>
      <c r="BT32" s="202" t="n"/>
      <c r="BU32" s="202" t="n"/>
      <c r="BV32" s="202" t="n"/>
      <c r="BW32" s="202" t="n"/>
      <c r="BX32" s="202" t="n"/>
      <c r="BY32" s="202" t="n"/>
      <c r="BZ32" s="202" t="n"/>
      <c r="CA32" s="202" t="n"/>
      <c r="CB32" s="202" t="n"/>
      <c r="CC32" s="202" t="n"/>
      <c r="CD32" s="202" t="n"/>
      <c r="CE32" s="202" t="n"/>
      <c r="CF32" s="202" t="n"/>
      <c r="CG32" s="202" t="n"/>
      <c r="CH32" s="202" t="n"/>
      <c r="CI32" s="202" t="n"/>
      <c r="CJ32" s="202" t="n"/>
      <c r="CK32" s="202" t="n"/>
      <c r="CL32" s="202" t="n"/>
      <c r="CM32" s="202" t="n"/>
      <c r="CN32" s="202" t="n"/>
      <c r="CO32" s="202" t="n"/>
      <c r="CP32" s="202" t="n"/>
      <c r="CQ32" s="202" t="n"/>
      <c r="CR32" s="202" t="n"/>
      <c r="CS32" s="202" t="n"/>
      <c r="CT32" s="202" t="n"/>
      <c r="CU32" s="202" t="n"/>
      <c r="CV32" s="202" t="n"/>
      <c r="CW32" s="202" t="n"/>
      <c r="CX32" s="202" t="n"/>
      <c r="CY32" s="202" t="n"/>
      <c r="CZ32" s="202" t="n"/>
      <c r="DA32" s="202" t="n"/>
      <c r="DB32" s="202" t="n"/>
      <c r="DC32" s="202" t="n"/>
      <c r="DD32" s="202" t="n"/>
      <c r="DE32" s="202" t="n"/>
      <c r="DF32" s="202" t="n"/>
      <c r="DG32" s="202" t="n"/>
      <c r="DH32" s="202" t="n"/>
      <c r="DI32" s="202" t="n"/>
      <c r="DJ32" s="202" t="n"/>
      <c r="DK32" s="202" t="n"/>
      <c r="DL32" s="202" t="n"/>
      <c r="DM32" s="202" t="n"/>
      <c r="DN32" s="202" t="n"/>
      <c r="DO32" s="202" t="n"/>
      <c r="DP32" s="202" t="n"/>
      <c r="DQ32" s="202" t="n"/>
      <c r="DR32" s="202" t="n"/>
      <c r="DS32" s="202" t="n"/>
      <c r="DT32" s="202" t="n"/>
      <c r="DU32" s="202" t="n"/>
      <c r="DV32" s="202" t="n"/>
      <c r="DW32" s="202" t="n"/>
      <c r="DX32" s="202" t="n"/>
      <c r="DY32" s="202" t="n"/>
      <c r="DZ32" s="202" t="n"/>
      <c r="EA32" s="202" t="n"/>
      <c r="EB32" s="202" t="n"/>
      <c r="EC32" s="202" t="n"/>
      <c r="ED32" s="202" t="n"/>
      <c r="EE32" s="202" t="n"/>
      <c r="EF32" s="202" t="n"/>
      <c r="EG32" s="202" t="n"/>
      <c r="EH32" s="202" t="n"/>
      <c r="EI32" s="202" t="n"/>
      <c r="EJ32" s="202" t="n"/>
      <c r="EK32" s="202" t="n"/>
      <c r="EL32" s="202" t="n"/>
      <c r="EM32" s="202" t="n"/>
      <c r="EN32" s="202" t="n"/>
      <c r="EO32" s="202" t="n"/>
      <c r="EP32" s="202" t="n"/>
      <c r="EQ32" s="202" t="n"/>
      <c r="ER32" s="202" t="n"/>
      <c r="ES32" s="202" t="n"/>
      <c r="ET32" s="202" t="n"/>
      <c r="EU32" s="202" t="n"/>
      <c r="EV32" s="202" t="n"/>
      <c r="EW32" s="202" t="n"/>
      <c r="EX32" s="202" t="n"/>
      <c r="EY32" s="202" t="n"/>
      <c r="EZ32" s="202" t="n"/>
      <c r="FA32" s="202" t="n"/>
      <c r="FB32" s="202" t="n"/>
      <c r="FC32" s="202" t="n"/>
      <c r="FD32" s="202" t="n"/>
      <c r="FE32" s="202" t="n"/>
      <c r="FF32" s="202" t="n"/>
      <c r="FG32" s="202" t="n"/>
      <c r="FH32" s="202" t="n"/>
      <c r="FI32" s="202" t="n"/>
      <c r="FJ32" s="202" t="n"/>
      <c r="FK32" s="202" t="n"/>
      <c r="FL32" s="202" t="n"/>
      <c r="FM32" s="202" t="n"/>
      <c r="FN32" s="202" t="n"/>
      <c r="FO32" s="202" t="n"/>
      <c r="FP32" s="202" t="n"/>
      <c r="FQ32" s="202" t="n"/>
      <c r="FR32" s="202" t="n"/>
      <c r="FS32" s="202" t="n"/>
      <c r="FT32" s="202" t="n"/>
      <c r="FU32" s="202" t="n"/>
      <c r="FV32" s="202" t="n"/>
      <c r="FW32" s="202" t="n"/>
      <c r="FX32" s="202" t="n"/>
      <c r="FY32" s="202" t="n"/>
      <c r="FZ32" s="202" t="n"/>
      <c r="GA32" s="202" t="n"/>
      <c r="GB32" s="202" t="n"/>
      <c r="GC32" s="202" t="n"/>
      <c r="GD32" s="202" t="n"/>
      <c r="GE32" s="202" t="n"/>
      <c r="GF32" s="202" t="n"/>
      <c r="GG32" s="202" t="n"/>
      <c r="GH32" s="202" t="n"/>
      <c r="GI32" s="202" t="n"/>
      <c r="GJ32" s="202" t="n"/>
      <c r="GK32" s="202" t="n"/>
      <c r="GL32" s="202" t="n"/>
      <c r="GM32" s="202" t="n"/>
      <c r="GN32" s="202" t="n"/>
      <c r="GO32" s="202" t="n"/>
      <c r="GP32" s="202" t="n"/>
      <c r="GQ32" s="202" t="n"/>
      <c r="GR32" s="202" t="n"/>
      <c r="GS32" s="202" t="n"/>
      <c r="GT32" s="202" t="n"/>
      <c r="GU32" s="202" t="n"/>
      <c r="GV32" s="202" t="n"/>
      <c r="GW32" s="202" t="n"/>
      <c r="GX32" s="202" t="n"/>
      <c r="GY32" s="202" t="n"/>
      <c r="GZ32" s="202" t="n"/>
      <c r="HA32" s="202" t="n"/>
      <c r="HB32" s="202" t="n"/>
      <c r="HC32" s="202" t="n"/>
      <c r="HD32" s="202" t="n"/>
      <c r="HE32" s="202" t="n"/>
      <c r="HF32" s="202" t="n"/>
      <c r="HG32" s="202" t="n"/>
      <c r="HH32" s="202" t="n"/>
      <c r="HI32" s="202" t="n"/>
      <c r="HJ32" s="202" t="n"/>
      <c r="HK32" s="202" t="n"/>
      <c r="HL32" s="202" t="n"/>
      <c r="HM32" s="202" t="n"/>
      <c r="HN32" s="202" t="n"/>
      <c r="HO32" s="202" t="n"/>
      <c r="HP32" s="202" t="n"/>
      <c r="HQ32" s="202" t="n"/>
      <c r="HR32" s="202" t="n"/>
      <c r="HS32" s="202" t="n"/>
      <c r="HT32" s="202" t="n"/>
      <c r="HU32" s="202" t="n"/>
      <c r="HV32" s="202" t="n"/>
      <c r="HW32" s="202" t="n"/>
      <c r="HX32" s="202" t="n"/>
      <c r="HY32" s="202" t="n"/>
      <c r="HZ32" s="202" t="n"/>
      <c r="IA32" s="202" t="n"/>
      <c r="IB32" s="202" t="n"/>
      <c r="IC32" s="202" t="n"/>
      <c r="ID32" s="202" t="n"/>
      <c r="IE32" s="202" t="n"/>
      <c r="IF32" s="202" t="n"/>
      <c r="IG32" s="202" t="n"/>
      <c r="IH32" s="202" t="n"/>
      <c r="II32" s="202" t="n"/>
      <c r="IJ32" s="202" t="n"/>
      <c r="IK32" s="202" t="n"/>
      <c r="IL32" s="202" t="n"/>
    </row>
    <row r="33" hidden="1" outlineLevel="1" ht="25" customFormat="1" customHeight="1" s="412">
      <c r="A33" s="239" t="inlineStr">
        <is>
          <t>3.3.4</t>
        </is>
      </c>
      <c r="B33" s="230" t="inlineStr">
        <is>
          <t>实验室工程</t>
        </is>
      </c>
      <c r="C33" s="420" t="n"/>
      <c r="D33" s="232" t="inlineStr">
        <is>
          <t>㎡</t>
        </is>
      </c>
      <c r="E33" s="419" t="n"/>
      <c r="F33" s="382">
        <f>C33/E33*10000</f>
        <v/>
      </c>
      <c r="G33" s="234" t="inlineStr">
        <is>
          <t>实验室建筑面积</t>
        </is>
      </c>
      <c r="H33" s="232" t="inlineStr">
        <is>
          <t>专业工程指标</t>
        </is>
      </c>
      <c r="I33" s="202" t="n"/>
      <c r="J33" s="202" t="n"/>
      <c r="K33" s="202" t="n"/>
      <c r="L33" s="202" t="n"/>
      <c r="M33" s="202" t="n"/>
      <c r="N33" s="202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  <c r="AA33" s="202" t="n"/>
      <c r="AB33" s="202" t="n"/>
      <c r="AC33" s="202" t="n"/>
      <c r="AD33" s="202" t="n"/>
      <c r="AE33" s="202" t="n"/>
      <c r="AF33" s="202" t="n"/>
      <c r="AG33" s="202" t="n"/>
      <c r="AH33" s="202" t="n"/>
      <c r="AI33" s="202" t="n"/>
      <c r="AJ33" s="202" t="n"/>
      <c r="AK33" s="202" t="n"/>
      <c r="AL33" s="202" t="n"/>
      <c r="AM33" s="202" t="n"/>
      <c r="AN33" s="202" t="n"/>
      <c r="AO33" s="202" t="n"/>
      <c r="AP33" s="202" t="n"/>
      <c r="AQ33" s="202" t="n"/>
      <c r="AR33" s="202" t="n"/>
      <c r="AS33" s="202" t="n"/>
      <c r="AT33" s="202" t="n"/>
      <c r="AU33" s="202" t="n"/>
      <c r="AV33" s="202" t="n"/>
      <c r="AW33" s="202" t="n"/>
      <c r="AX33" s="202" t="n"/>
      <c r="AY33" s="202" t="n"/>
      <c r="AZ33" s="202" t="n"/>
      <c r="BA33" s="202" t="n"/>
      <c r="BB33" s="202" t="n"/>
      <c r="BC33" s="202" t="n"/>
      <c r="BD33" s="202" t="n"/>
      <c r="BE33" s="202" t="n"/>
      <c r="BF33" s="202" t="n"/>
      <c r="BG33" s="202" t="n"/>
      <c r="BH33" s="202" t="n"/>
      <c r="BI33" s="202" t="n"/>
      <c r="BJ33" s="202" t="n"/>
      <c r="BK33" s="202" t="n"/>
      <c r="BL33" s="202" t="n"/>
      <c r="BM33" s="202" t="n"/>
      <c r="BN33" s="202" t="n"/>
      <c r="BO33" s="202" t="n"/>
      <c r="BP33" s="202" t="n"/>
      <c r="BQ33" s="202" t="n"/>
      <c r="BR33" s="202" t="n"/>
      <c r="BS33" s="202" t="n"/>
      <c r="BT33" s="202" t="n"/>
      <c r="BU33" s="202" t="n"/>
      <c r="BV33" s="202" t="n"/>
      <c r="BW33" s="202" t="n"/>
      <c r="BX33" s="202" t="n"/>
      <c r="BY33" s="202" t="n"/>
      <c r="BZ33" s="202" t="n"/>
      <c r="CA33" s="202" t="n"/>
      <c r="CB33" s="202" t="n"/>
      <c r="CC33" s="202" t="n"/>
      <c r="CD33" s="202" t="n"/>
      <c r="CE33" s="202" t="n"/>
      <c r="CF33" s="202" t="n"/>
      <c r="CG33" s="202" t="n"/>
      <c r="CH33" s="202" t="n"/>
      <c r="CI33" s="202" t="n"/>
      <c r="CJ33" s="202" t="n"/>
      <c r="CK33" s="202" t="n"/>
      <c r="CL33" s="202" t="n"/>
      <c r="CM33" s="202" t="n"/>
      <c r="CN33" s="202" t="n"/>
      <c r="CO33" s="202" t="n"/>
      <c r="CP33" s="202" t="n"/>
      <c r="CQ33" s="202" t="n"/>
      <c r="CR33" s="202" t="n"/>
      <c r="CS33" s="202" t="n"/>
      <c r="CT33" s="202" t="n"/>
      <c r="CU33" s="202" t="n"/>
      <c r="CV33" s="202" t="n"/>
      <c r="CW33" s="202" t="n"/>
      <c r="CX33" s="202" t="n"/>
      <c r="CY33" s="202" t="n"/>
      <c r="CZ33" s="202" t="n"/>
      <c r="DA33" s="202" t="n"/>
      <c r="DB33" s="202" t="n"/>
      <c r="DC33" s="202" t="n"/>
      <c r="DD33" s="202" t="n"/>
      <c r="DE33" s="202" t="n"/>
      <c r="DF33" s="202" t="n"/>
      <c r="DG33" s="202" t="n"/>
      <c r="DH33" s="202" t="n"/>
      <c r="DI33" s="202" t="n"/>
      <c r="DJ33" s="202" t="n"/>
      <c r="DK33" s="202" t="n"/>
      <c r="DL33" s="202" t="n"/>
      <c r="DM33" s="202" t="n"/>
      <c r="DN33" s="202" t="n"/>
      <c r="DO33" s="202" t="n"/>
      <c r="DP33" s="202" t="n"/>
      <c r="DQ33" s="202" t="n"/>
      <c r="DR33" s="202" t="n"/>
      <c r="DS33" s="202" t="n"/>
      <c r="DT33" s="202" t="n"/>
      <c r="DU33" s="202" t="n"/>
      <c r="DV33" s="202" t="n"/>
      <c r="DW33" s="202" t="n"/>
      <c r="DX33" s="202" t="n"/>
      <c r="DY33" s="202" t="n"/>
      <c r="DZ33" s="202" t="n"/>
      <c r="EA33" s="202" t="n"/>
      <c r="EB33" s="202" t="n"/>
      <c r="EC33" s="202" t="n"/>
      <c r="ED33" s="202" t="n"/>
      <c r="EE33" s="202" t="n"/>
      <c r="EF33" s="202" t="n"/>
      <c r="EG33" s="202" t="n"/>
      <c r="EH33" s="202" t="n"/>
      <c r="EI33" s="202" t="n"/>
      <c r="EJ33" s="202" t="n"/>
      <c r="EK33" s="202" t="n"/>
      <c r="EL33" s="202" t="n"/>
      <c r="EM33" s="202" t="n"/>
      <c r="EN33" s="202" t="n"/>
      <c r="EO33" s="202" t="n"/>
      <c r="EP33" s="202" t="n"/>
      <c r="EQ33" s="202" t="n"/>
      <c r="ER33" s="202" t="n"/>
      <c r="ES33" s="202" t="n"/>
      <c r="ET33" s="202" t="n"/>
      <c r="EU33" s="202" t="n"/>
      <c r="EV33" s="202" t="n"/>
      <c r="EW33" s="202" t="n"/>
      <c r="EX33" s="202" t="n"/>
      <c r="EY33" s="202" t="n"/>
      <c r="EZ33" s="202" t="n"/>
      <c r="FA33" s="202" t="n"/>
      <c r="FB33" s="202" t="n"/>
      <c r="FC33" s="202" t="n"/>
      <c r="FD33" s="202" t="n"/>
      <c r="FE33" s="202" t="n"/>
      <c r="FF33" s="202" t="n"/>
      <c r="FG33" s="202" t="n"/>
      <c r="FH33" s="202" t="n"/>
      <c r="FI33" s="202" t="n"/>
      <c r="FJ33" s="202" t="n"/>
      <c r="FK33" s="202" t="n"/>
      <c r="FL33" s="202" t="n"/>
      <c r="FM33" s="202" t="n"/>
      <c r="FN33" s="202" t="n"/>
      <c r="FO33" s="202" t="n"/>
      <c r="FP33" s="202" t="n"/>
      <c r="FQ33" s="202" t="n"/>
      <c r="FR33" s="202" t="n"/>
      <c r="FS33" s="202" t="n"/>
      <c r="FT33" s="202" t="n"/>
      <c r="FU33" s="202" t="n"/>
      <c r="FV33" s="202" t="n"/>
      <c r="FW33" s="202" t="n"/>
      <c r="FX33" s="202" t="n"/>
      <c r="FY33" s="202" t="n"/>
      <c r="FZ33" s="202" t="n"/>
      <c r="GA33" s="202" t="n"/>
      <c r="GB33" s="202" t="n"/>
      <c r="GC33" s="202" t="n"/>
      <c r="GD33" s="202" t="n"/>
      <c r="GE33" s="202" t="n"/>
      <c r="GF33" s="202" t="n"/>
      <c r="GG33" s="202" t="n"/>
      <c r="GH33" s="202" t="n"/>
      <c r="GI33" s="202" t="n"/>
      <c r="GJ33" s="202" t="n"/>
      <c r="GK33" s="202" t="n"/>
      <c r="GL33" s="202" t="n"/>
      <c r="GM33" s="202" t="n"/>
      <c r="GN33" s="202" t="n"/>
      <c r="GO33" s="202" t="n"/>
      <c r="GP33" s="202" t="n"/>
      <c r="GQ33" s="202" t="n"/>
      <c r="GR33" s="202" t="n"/>
      <c r="GS33" s="202" t="n"/>
      <c r="GT33" s="202" t="n"/>
      <c r="GU33" s="202" t="n"/>
      <c r="GV33" s="202" t="n"/>
      <c r="GW33" s="202" t="n"/>
      <c r="GX33" s="202" t="n"/>
      <c r="GY33" s="202" t="n"/>
      <c r="GZ33" s="202" t="n"/>
      <c r="HA33" s="202" t="n"/>
      <c r="HB33" s="202" t="n"/>
      <c r="HC33" s="202" t="n"/>
      <c r="HD33" s="202" t="n"/>
      <c r="HE33" s="202" t="n"/>
      <c r="HF33" s="202" t="n"/>
      <c r="HG33" s="202" t="n"/>
      <c r="HH33" s="202" t="n"/>
      <c r="HI33" s="202" t="n"/>
      <c r="HJ33" s="202" t="n"/>
      <c r="HK33" s="202" t="n"/>
      <c r="HL33" s="202" t="n"/>
      <c r="HM33" s="202" t="n"/>
      <c r="HN33" s="202" t="n"/>
      <c r="HO33" s="202" t="n"/>
      <c r="HP33" s="202" t="n"/>
      <c r="HQ33" s="202" t="n"/>
      <c r="HR33" s="202" t="n"/>
      <c r="HS33" s="202" t="n"/>
      <c r="HT33" s="202" t="n"/>
      <c r="HU33" s="202" t="n"/>
      <c r="HV33" s="202" t="n"/>
      <c r="HW33" s="202" t="n"/>
      <c r="HX33" s="202" t="n"/>
      <c r="HY33" s="202" t="n"/>
      <c r="HZ33" s="202" t="n"/>
      <c r="IA33" s="202" t="n"/>
      <c r="IB33" s="202" t="n"/>
      <c r="IC33" s="202" t="n"/>
      <c r="ID33" s="202" t="n"/>
      <c r="IE33" s="202" t="n"/>
      <c r="IF33" s="202" t="n"/>
      <c r="IG33" s="202" t="n"/>
      <c r="IH33" s="202" t="n"/>
      <c r="II33" s="202" t="n"/>
      <c r="IJ33" s="202" t="n"/>
      <c r="IK33" s="202" t="n"/>
      <c r="IL33" s="202" t="n"/>
    </row>
    <row r="34" hidden="1" outlineLevel="1" ht="25" customFormat="1" customHeight="1" s="412">
      <c r="A34" s="239" t="inlineStr">
        <is>
          <t>3.3.5</t>
        </is>
      </c>
      <c r="B34" s="230" t="inlineStr">
        <is>
          <t>图书馆工程</t>
        </is>
      </c>
      <c r="C34" s="420" t="n"/>
      <c r="D34" s="232" t="inlineStr">
        <is>
          <t>㎡</t>
        </is>
      </c>
      <c r="E34" s="419" t="n"/>
      <c r="F34" s="382">
        <f>C34/E34*10000</f>
        <v/>
      </c>
      <c r="G34" s="234" t="inlineStr">
        <is>
          <t>图书馆建筑面积</t>
        </is>
      </c>
      <c r="H34" s="232" t="inlineStr">
        <is>
          <t>专业工程指标</t>
        </is>
      </c>
      <c r="I34" s="202" t="n"/>
      <c r="J34" s="202" t="n"/>
      <c r="K34" s="202" t="n"/>
      <c r="L34" s="202" t="n"/>
      <c r="M34" s="202" t="n"/>
      <c r="N34" s="202" t="n"/>
      <c r="O34" s="202" t="n"/>
      <c r="P34" s="202" t="n"/>
      <c r="Q34" s="202" t="n"/>
      <c r="R34" s="202" t="n"/>
      <c r="S34" s="202" t="n"/>
      <c r="T34" s="202" t="n"/>
      <c r="U34" s="202" t="n"/>
      <c r="V34" s="202" t="n"/>
      <c r="W34" s="202" t="n"/>
      <c r="X34" s="202" t="n"/>
      <c r="Y34" s="202" t="n"/>
      <c r="Z34" s="202" t="n"/>
      <c r="AA34" s="202" t="n"/>
      <c r="AB34" s="202" t="n"/>
      <c r="AC34" s="202" t="n"/>
      <c r="AD34" s="202" t="n"/>
      <c r="AE34" s="202" t="n"/>
      <c r="AF34" s="202" t="n"/>
      <c r="AG34" s="202" t="n"/>
      <c r="AH34" s="202" t="n"/>
      <c r="AI34" s="202" t="n"/>
      <c r="AJ34" s="202" t="n"/>
      <c r="AK34" s="202" t="n"/>
      <c r="AL34" s="202" t="n"/>
      <c r="AM34" s="202" t="n"/>
      <c r="AN34" s="202" t="n"/>
      <c r="AO34" s="202" t="n"/>
      <c r="AP34" s="202" t="n"/>
      <c r="AQ34" s="202" t="n"/>
      <c r="AR34" s="202" t="n"/>
      <c r="AS34" s="202" t="n"/>
      <c r="AT34" s="202" t="n"/>
      <c r="AU34" s="202" t="n"/>
      <c r="AV34" s="202" t="n"/>
      <c r="AW34" s="202" t="n"/>
      <c r="AX34" s="202" t="n"/>
      <c r="AY34" s="202" t="n"/>
      <c r="AZ34" s="202" t="n"/>
      <c r="BA34" s="202" t="n"/>
      <c r="BB34" s="202" t="n"/>
      <c r="BC34" s="202" t="n"/>
      <c r="BD34" s="202" t="n"/>
      <c r="BE34" s="202" t="n"/>
      <c r="BF34" s="202" t="n"/>
      <c r="BG34" s="202" t="n"/>
      <c r="BH34" s="202" t="n"/>
      <c r="BI34" s="202" t="n"/>
      <c r="BJ34" s="202" t="n"/>
      <c r="BK34" s="202" t="n"/>
      <c r="BL34" s="202" t="n"/>
      <c r="BM34" s="202" t="n"/>
      <c r="BN34" s="202" t="n"/>
      <c r="BO34" s="202" t="n"/>
      <c r="BP34" s="202" t="n"/>
      <c r="BQ34" s="202" t="n"/>
      <c r="BR34" s="202" t="n"/>
      <c r="BS34" s="202" t="n"/>
      <c r="BT34" s="202" t="n"/>
      <c r="BU34" s="202" t="n"/>
      <c r="BV34" s="202" t="n"/>
      <c r="BW34" s="202" t="n"/>
      <c r="BX34" s="202" t="n"/>
      <c r="BY34" s="202" t="n"/>
      <c r="BZ34" s="202" t="n"/>
      <c r="CA34" s="202" t="n"/>
      <c r="CB34" s="202" t="n"/>
      <c r="CC34" s="202" t="n"/>
      <c r="CD34" s="202" t="n"/>
      <c r="CE34" s="202" t="n"/>
      <c r="CF34" s="202" t="n"/>
      <c r="CG34" s="202" t="n"/>
      <c r="CH34" s="202" t="n"/>
      <c r="CI34" s="202" t="n"/>
      <c r="CJ34" s="202" t="n"/>
      <c r="CK34" s="202" t="n"/>
      <c r="CL34" s="202" t="n"/>
      <c r="CM34" s="202" t="n"/>
      <c r="CN34" s="202" t="n"/>
      <c r="CO34" s="202" t="n"/>
      <c r="CP34" s="202" t="n"/>
      <c r="CQ34" s="202" t="n"/>
      <c r="CR34" s="202" t="n"/>
      <c r="CS34" s="202" t="n"/>
      <c r="CT34" s="202" t="n"/>
      <c r="CU34" s="202" t="n"/>
      <c r="CV34" s="202" t="n"/>
      <c r="CW34" s="202" t="n"/>
      <c r="CX34" s="202" t="n"/>
      <c r="CY34" s="202" t="n"/>
      <c r="CZ34" s="202" t="n"/>
      <c r="DA34" s="202" t="n"/>
      <c r="DB34" s="202" t="n"/>
      <c r="DC34" s="202" t="n"/>
      <c r="DD34" s="202" t="n"/>
      <c r="DE34" s="202" t="n"/>
      <c r="DF34" s="202" t="n"/>
      <c r="DG34" s="202" t="n"/>
      <c r="DH34" s="202" t="n"/>
      <c r="DI34" s="202" t="n"/>
      <c r="DJ34" s="202" t="n"/>
      <c r="DK34" s="202" t="n"/>
      <c r="DL34" s="202" t="n"/>
      <c r="DM34" s="202" t="n"/>
      <c r="DN34" s="202" t="n"/>
      <c r="DO34" s="202" t="n"/>
      <c r="DP34" s="202" t="n"/>
      <c r="DQ34" s="202" t="n"/>
      <c r="DR34" s="202" t="n"/>
      <c r="DS34" s="202" t="n"/>
      <c r="DT34" s="202" t="n"/>
      <c r="DU34" s="202" t="n"/>
      <c r="DV34" s="202" t="n"/>
      <c r="DW34" s="202" t="n"/>
      <c r="DX34" s="202" t="n"/>
      <c r="DY34" s="202" t="n"/>
      <c r="DZ34" s="202" t="n"/>
      <c r="EA34" s="202" t="n"/>
      <c r="EB34" s="202" t="n"/>
      <c r="EC34" s="202" t="n"/>
      <c r="ED34" s="202" t="n"/>
      <c r="EE34" s="202" t="n"/>
      <c r="EF34" s="202" t="n"/>
      <c r="EG34" s="202" t="n"/>
      <c r="EH34" s="202" t="n"/>
      <c r="EI34" s="202" t="n"/>
      <c r="EJ34" s="202" t="n"/>
      <c r="EK34" s="202" t="n"/>
      <c r="EL34" s="202" t="n"/>
      <c r="EM34" s="202" t="n"/>
      <c r="EN34" s="202" t="n"/>
      <c r="EO34" s="202" t="n"/>
      <c r="EP34" s="202" t="n"/>
      <c r="EQ34" s="202" t="n"/>
      <c r="ER34" s="202" t="n"/>
      <c r="ES34" s="202" t="n"/>
      <c r="ET34" s="202" t="n"/>
      <c r="EU34" s="202" t="n"/>
      <c r="EV34" s="202" t="n"/>
      <c r="EW34" s="202" t="n"/>
      <c r="EX34" s="202" t="n"/>
      <c r="EY34" s="202" t="n"/>
      <c r="EZ34" s="202" t="n"/>
      <c r="FA34" s="202" t="n"/>
      <c r="FB34" s="202" t="n"/>
      <c r="FC34" s="202" t="n"/>
      <c r="FD34" s="202" t="n"/>
      <c r="FE34" s="202" t="n"/>
      <c r="FF34" s="202" t="n"/>
      <c r="FG34" s="202" t="n"/>
      <c r="FH34" s="202" t="n"/>
      <c r="FI34" s="202" t="n"/>
      <c r="FJ34" s="202" t="n"/>
      <c r="FK34" s="202" t="n"/>
      <c r="FL34" s="202" t="n"/>
      <c r="FM34" s="202" t="n"/>
      <c r="FN34" s="202" t="n"/>
      <c r="FO34" s="202" t="n"/>
      <c r="FP34" s="202" t="n"/>
      <c r="FQ34" s="202" t="n"/>
      <c r="FR34" s="202" t="n"/>
      <c r="FS34" s="202" t="n"/>
      <c r="FT34" s="202" t="n"/>
      <c r="FU34" s="202" t="n"/>
      <c r="FV34" s="202" t="n"/>
      <c r="FW34" s="202" t="n"/>
      <c r="FX34" s="202" t="n"/>
      <c r="FY34" s="202" t="n"/>
      <c r="FZ34" s="202" t="n"/>
      <c r="GA34" s="202" t="n"/>
      <c r="GB34" s="202" t="n"/>
      <c r="GC34" s="202" t="n"/>
      <c r="GD34" s="202" t="n"/>
      <c r="GE34" s="202" t="n"/>
      <c r="GF34" s="202" t="n"/>
      <c r="GG34" s="202" t="n"/>
      <c r="GH34" s="202" t="n"/>
      <c r="GI34" s="202" t="n"/>
      <c r="GJ34" s="202" t="n"/>
      <c r="GK34" s="202" t="n"/>
      <c r="GL34" s="202" t="n"/>
      <c r="GM34" s="202" t="n"/>
      <c r="GN34" s="202" t="n"/>
      <c r="GO34" s="202" t="n"/>
      <c r="GP34" s="202" t="n"/>
      <c r="GQ34" s="202" t="n"/>
      <c r="GR34" s="202" t="n"/>
      <c r="GS34" s="202" t="n"/>
      <c r="GT34" s="202" t="n"/>
      <c r="GU34" s="202" t="n"/>
      <c r="GV34" s="202" t="n"/>
      <c r="GW34" s="202" t="n"/>
      <c r="GX34" s="202" t="n"/>
      <c r="GY34" s="202" t="n"/>
      <c r="GZ34" s="202" t="n"/>
      <c r="HA34" s="202" t="n"/>
      <c r="HB34" s="202" t="n"/>
      <c r="HC34" s="202" t="n"/>
      <c r="HD34" s="202" t="n"/>
      <c r="HE34" s="202" t="n"/>
      <c r="HF34" s="202" t="n"/>
      <c r="HG34" s="202" t="n"/>
      <c r="HH34" s="202" t="n"/>
      <c r="HI34" s="202" t="n"/>
      <c r="HJ34" s="202" t="n"/>
      <c r="HK34" s="202" t="n"/>
      <c r="HL34" s="202" t="n"/>
      <c r="HM34" s="202" t="n"/>
      <c r="HN34" s="202" t="n"/>
      <c r="HO34" s="202" t="n"/>
      <c r="HP34" s="202" t="n"/>
      <c r="HQ34" s="202" t="n"/>
      <c r="HR34" s="202" t="n"/>
      <c r="HS34" s="202" t="n"/>
      <c r="HT34" s="202" t="n"/>
      <c r="HU34" s="202" t="n"/>
      <c r="HV34" s="202" t="n"/>
      <c r="HW34" s="202" t="n"/>
      <c r="HX34" s="202" t="n"/>
      <c r="HY34" s="202" t="n"/>
      <c r="HZ34" s="202" t="n"/>
      <c r="IA34" s="202" t="n"/>
      <c r="IB34" s="202" t="n"/>
      <c r="IC34" s="202" t="n"/>
      <c r="ID34" s="202" t="n"/>
      <c r="IE34" s="202" t="n"/>
      <c r="IF34" s="202" t="n"/>
      <c r="IG34" s="202" t="n"/>
      <c r="IH34" s="202" t="n"/>
      <c r="II34" s="202" t="n"/>
      <c r="IJ34" s="202" t="n"/>
      <c r="IK34" s="202" t="n"/>
      <c r="IL34" s="202" t="n"/>
    </row>
    <row r="35" collapsed="1" ht="25" customFormat="1" customHeight="1" s="412">
      <c r="A35" s="235" t="n">
        <v>3.4</v>
      </c>
      <c r="B35" s="236" t="inlineStr">
        <is>
          <t>体育专项工程</t>
        </is>
      </c>
      <c r="C35" s="237">
        <f>SUM(C36:C41)</f>
        <v/>
      </c>
      <c r="D35" s="238" t="inlineStr">
        <is>
          <t>㎡</t>
        </is>
      </c>
      <c r="E35" s="417" t="n"/>
      <c r="F35" s="417">
        <f>C35/E35*10000</f>
        <v/>
      </c>
      <c r="G35" s="228" t="inlineStr">
        <is>
          <t>区域建筑面积</t>
        </is>
      </c>
      <c r="H35" s="238" t="inlineStr">
        <is>
          <t>专业工程指标</t>
        </is>
      </c>
      <c r="I35" s="202" t="n"/>
      <c r="J35" s="202" t="n"/>
      <c r="K35" s="202" t="n"/>
      <c r="L35" s="202" t="n"/>
      <c r="M35" s="202" t="n"/>
      <c r="N35" s="202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  <c r="AH35" s="202" t="n"/>
      <c r="AI35" s="202" t="n"/>
      <c r="AJ35" s="202" t="n"/>
      <c r="AK35" s="202" t="n"/>
      <c r="AL35" s="202" t="n"/>
      <c r="AM35" s="202" t="n"/>
      <c r="AN35" s="202" t="n"/>
      <c r="AO35" s="202" t="n"/>
      <c r="AP35" s="202" t="n"/>
      <c r="AQ35" s="202" t="n"/>
      <c r="AR35" s="202" t="n"/>
      <c r="AS35" s="202" t="n"/>
      <c r="AT35" s="202" t="n"/>
      <c r="AU35" s="202" t="n"/>
      <c r="AV35" s="202" t="n"/>
      <c r="AW35" s="202" t="n"/>
      <c r="AX35" s="202" t="n"/>
      <c r="AY35" s="202" t="n"/>
      <c r="AZ35" s="202" t="n"/>
      <c r="BA35" s="202" t="n"/>
      <c r="BB35" s="202" t="n"/>
      <c r="BC35" s="202" t="n"/>
      <c r="BD35" s="202" t="n"/>
      <c r="BE35" s="202" t="n"/>
      <c r="BF35" s="202" t="n"/>
      <c r="BG35" s="202" t="n"/>
      <c r="BH35" s="202" t="n"/>
      <c r="BI35" s="202" t="n"/>
      <c r="BJ35" s="202" t="n"/>
      <c r="BK35" s="202" t="n"/>
      <c r="BL35" s="202" t="n"/>
      <c r="BM35" s="202" t="n"/>
      <c r="BN35" s="202" t="n"/>
      <c r="BO35" s="202" t="n"/>
      <c r="BP35" s="202" t="n"/>
      <c r="BQ35" s="202" t="n"/>
      <c r="BR35" s="202" t="n"/>
      <c r="BS35" s="202" t="n"/>
      <c r="BT35" s="202" t="n"/>
      <c r="BU35" s="202" t="n"/>
      <c r="BV35" s="202" t="n"/>
      <c r="BW35" s="202" t="n"/>
      <c r="BX35" s="202" t="n"/>
      <c r="BY35" s="202" t="n"/>
      <c r="BZ35" s="202" t="n"/>
      <c r="CA35" s="202" t="n"/>
      <c r="CB35" s="202" t="n"/>
      <c r="CC35" s="202" t="n"/>
      <c r="CD35" s="202" t="n"/>
      <c r="CE35" s="202" t="n"/>
      <c r="CF35" s="202" t="n"/>
      <c r="CG35" s="202" t="n"/>
      <c r="CH35" s="202" t="n"/>
      <c r="CI35" s="202" t="n"/>
      <c r="CJ35" s="202" t="n"/>
      <c r="CK35" s="202" t="n"/>
      <c r="CL35" s="202" t="n"/>
      <c r="CM35" s="202" t="n"/>
      <c r="CN35" s="202" t="n"/>
      <c r="CO35" s="202" t="n"/>
      <c r="CP35" s="202" t="n"/>
      <c r="CQ35" s="202" t="n"/>
      <c r="CR35" s="202" t="n"/>
      <c r="CS35" s="202" t="n"/>
      <c r="CT35" s="202" t="n"/>
      <c r="CU35" s="202" t="n"/>
      <c r="CV35" s="202" t="n"/>
      <c r="CW35" s="202" t="n"/>
      <c r="CX35" s="202" t="n"/>
      <c r="CY35" s="202" t="n"/>
      <c r="CZ35" s="202" t="n"/>
      <c r="DA35" s="202" t="n"/>
      <c r="DB35" s="202" t="n"/>
      <c r="DC35" s="202" t="n"/>
      <c r="DD35" s="202" t="n"/>
      <c r="DE35" s="202" t="n"/>
      <c r="DF35" s="202" t="n"/>
      <c r="DG35" s="202" t="n"/>
      <c r="DH35" s="202" t="n"/>
      <c r="DI35" s="202" t="n"/>
      <c r="DJ35" s="202" t="n"/>
      <c r="DK35" s="202" t="n"/>
      <c r="DL35" s="202" t="n"/>
      <c r="DM35" s="202" t="n"/>
      <c r="DN35" s="202" t="n"/>
      <c r="DO35" s="202" t="n"/>
      <c r="DP35" s="202" t="n"/>
      <c r="DQ35" s="202" t="n"/>
      <c r="DR35" s="202" t="n"/>
      <c r="DS35" s="202" t="n"/>
      <c r="DT35" s="202" t="n"/>
      <c r="DU35" s="202" t="n"/>
      <c r="DV35" s="202" t="n"/>
      <c r="DW35" s="202" t="n"/>
      <c r="DX35" s="202" t="n"/>
      <c r="DY35" s="202" t="n"/>
      <c r="DZ35" s="202" t="n"/>
      <c r="EA35" s="202" t="n"/>
      <c r="EB35" s="202" t="n"/>
      <c r="EC35" s="202" t="n"/>
      <c r="ED35" s="202" t="n"/>
      <c r="EE35" s="202" t="n"/>
      <c r="EF35" s="202" t="n"/>
      <c r="EG35" s="202" t="n"/>
      <c r="EH35" s="202" t="n"/>
      <c r="EI35" s="202" t="n"/>
      <c r="EJ35" s="202" t="n"/>
      <c r="EK35" s="202" t="n"/>
      <c r="EL35" s="202" t="n"/>
      <c r="EM35" s="202" t="n"/>
      <c r="EN35" s="202" t="n"/>
      <c r="EO35" s="202" t="n"/>
      <c r="EP35" s="202" t="n"/>
      <c r="EQ35" s="202" t="n"/>
      <c r="ER35" s="202" t="n"/>
      <c r="ES35" s="202" t="n"/>
      <c r="ET35" s="202" t="n"/>
      <c r="EU35" s="202" t="n"/>
      <c r="EV35" s="202" t="n"/>
      <c r="EW35" s="202" t="n"/>
      <c r="EX35" s="202" t="n"/>
      <c r="EY35" s="202" t="n"/>
      <c r="EZ35" s="202" t="n"/>
      <c r="FA35" s="202" t="n"/>
      <c r="FB35" s="202" t="n"/>
      <c r="FC35" s="202" t="n"/>
      <c r="FD35" s="202" t="n"/>
      <c r="FE35" s="202" t="n"/>
      <c r="FF35" s="202" t="n"/>
      <c r="FG35" s="202" t="n"/>
      <c r="FH35" s="202" t="n"/>
      <c r="FI35" s="202" t="n"/>
      <c r="FJ35" s="202" t="n"/>
      <c r="FK35" s="202" t="n"/>
      <c r="FL35" s="202" t="n"/>
      <c r="FM35" s="202" t="n"/>
      <c r="FN35" s="202" t="n"/>
      <c r="FO35" s="202" t="n"/>
      <c r="FP35" s="202" t="n"/>
      <c r="FQ35" s="202" t="n"/>
      <c r="FR35" s="202" t="n"/>
      <c r="FS35" s="202" t="n"/>
      <c r="FT35" s="202" t="n"/>
      <c r="FU35" s="202" t="n"/>
      <c r="FV35" s="202" t="n"/>
      <c r="FW35" s="202" t="n"/>
      <c r="FX35" s="202" t="n"/>
      <c r="FY35" s="202" t="n"/>
      <c r="FZ35" s="202" t="n"/>
      <c r="GA35" s="202" t="n"/>
      <c r="GB35" s="202" t="n"/>
      <c r="GC35" s="202" t="n"/>
      <c r="GD35" s="202" t="n"/>
      <c r="GE35" s="202" t="n"/>
      <c r="GF35" s="202" t="n"/>
      <c r="GG35" s="202" t="n"/>
      <c r="GH35" s="202" t="n"/>
      <c r="GI35" s="202" t="n"/>
      <c r="GJ35" s="202" t="n"/>
      <c r="GK35" s="202" t="n"/>
      <c r="GL35" s="202" t="n"/>
      <c r="GM35" s="202" t="n"/>
      <c r="GN35" s="202" t="n"/>
      <c r="GO35" s="202" t="n"/>
      <c r="GP35" s="202" t="n"/>
      <c r="GQ35" s="202" t="n"/>
      <c r="GR35" s="202" t="n"/>
      <c r="GS35" s="202" t="n"/>
      <c r="GT35" s="202" t="n"/>
      <c r="GU35" s="202" t="n"/>
      <c r="GV35" s="202" t="n"/>
      <c r="GW35" s="202" t="n"/>
      <c r="GX35" s="202" t="n"/>
      <c r="GY35" s="202" t="n"/>
      <c r="GZ35" s="202" t="n"/>
      <c r="HA35" s="202" t="n"/>
      <c r="HB35" s="202" t="n"/>
      <c r="HC35" s="202" t="n"/>
      <c r="HD35" s="202" t="n"/>
      <c r="HE35" s="202" t="n"/>
      <c r="HF35" s="202" t="n"/>
      <c r="HG35" s="202" t="n"/>
      <c r="HH35" s="202" t="n"/>
      <c r="HI35" s="202" t="n"/>
      <c r="HJ35" s="202" t="n"/>
      <c r="HK35" s="202" t="n"/>
      <c r="HL35" s="202" t="n"/>
      <c r="HM35" s="202" t="n"/>
      <c r="HN35" s="202" t="n"/>
      <c r="HO35" s="202" t="n"/>
      <c r="HP35" s="202" t="n"/>
      <c r="HQ35" s="202" t="n"/>
      <c r="HR35" s="202" t="n"/>
      <c r="HS35" s="202" t="n"/>
      <c r="HT35" s="202" t="n"/>
      <c r="HU35" s="202" t="n"/>
      <c r="HV35" s="202" t="n"/>
      <c r="HW35" s="202" t="n"/>
      <c r="HX35" s="202" t="n"/>
      <c r="HY35" s="202" t="n"/>
      <c r="HZ35" s="202" t="n"/>
      <c r="IA35" s="202" t="n"/>
      <c r="IB35" s="202" t="n"/>
      <c r="IC35" s="202" t="n"/>
      <c r="ID35" s="202" t="n"/>
      <c r="IE35" s="202" t="n"/>
      <c r="IF35" s="202" t="n"/>
      <c r="IG35" s="202" t="n"/>
      <c r="IH35" s="202" t="n"/>
      <c r="II35" s="202" t="n"/>
      <c r="IJ35" s="202" t="n"/>
      <c r="IK35" s="202" t="n"/>
      <c r="IL35" s="202" t="n"/>
    </row>
    <row r="36" hidden="1" outlineLevel="1" ht="25" customFormat="1" customHeight="1" s="412">
      <c r="A36" s="239" t="inlineStr">
        <is>
          <t>3.4.1</t>
        </is>
      </c>
      <c r="B36" s="230" t="inlineStr">
        <is>
          <t>足球场工程</t>
        </is>
      </c>
      <c r="C36" s="418" t="n"/>
      <c r="D36" s="232" t="inlineStr">
        <is>
          <t>块</t>
        </is>
      </c>
      <c r="E36" s="419" t="n"/>
      <c r="F36" s="382">
        <f>C36/E36*10000</f>
        <v/>
      </c>
      <c r="G36" s="234" t="inlineStr">
        <is>
          <t>标准球场数量</t>
        </is>
      </c>
      <c r="H36" s="232" t="inlineStr">
        <is>
          <t>专业工程指标</t>
        </is>
      </c>
      <c r="I36" s="202" t="n"/>
      <c r="J36" s="202" t="n"/>
      <c r="K36" s="202" t="n"/>
      <c r="L36" s="202" t="n"/>
      <c r="M36" s="202" t="n"/>
      <c r="N36" s="202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  <c r="AH36" s="202" t="n"/>
      <c r="AI36" s="202" t="n"/>
      <c r="AJ36" s="202" t="n"/>
      <c r="AK36" s="202" t="n"/>
      <c r="AL36" s="202" t="n"/>
      <c r="AM36" s="202" t="n"/>
      <c r="AN36" s="202" t="n"/>
      <c r="AO36" s="202" t="n"/>
      <c r="AP36" s="202" t="n"/>
      <c r="AQ36" s="202" t="n"/>
      <c r="AR36" s="202" t="n"/>
      <c r="AS36" s="202" t="n"/>
      <c r="AT36" s="202" t="n"/>
      <c r="AU36" s="202" t="n"/>
      <c r="AV36" s="202" t="n"/>
      <c r="AW36" s="202" t="n"/>
      <c r="AX36" s="202" t="n"/>
      <c r="AY36" s="202" t="n"/>
      <c r="AZ36" s="202" t="n"/>
      <c r="BA36" s="202" t="n"/>
      <c r="BB36" s="202" t="n"/>
      <c r="BC36" s="202" t="n"/>
      <c r="BD36" s="202" t="n"/>
      <c r="BE36" s="202" t="n"/>
      <c r="BF36" s="202" t="n"/>
      <c r="BG36" s="202" t="n"/>
      <c r="BH36" s="202" t="n"/>
      <c r="BI36" s="202" t="n"/>
      <c r="BJ36" s="202" t="n"/>
      <c r="BK36" s="202" t="n"/>
      <c r="BL36" s="202" t="n"/>
      <c r="BM36" s="202" t="n"/>
      <c r="BN36" s="202" t="n"/>
      <c r="BO36" s="202" t="n"/>
      <c r="BP36" s="202" t="n"/>
      <c r="BQ36" s="202" t="n"/>
      <c r="BR36" s="202" t="n"/>
      <c r="BS36" s="202" t="n"/>
      <c r="BT36" s="202" t="n"/>
      <c r="BU36" s="202" t="n"/>
      <c r="BV36" s="202" t="n"/>
      <c r="BW36" s="202" t="n"/>
      <c r="BX36" s="202" t="n"/>
      <c r="BY36" s="202" t="n"/>
      <c r="BZ36" s="202" t="n"/>
      <c r="CA36" s="202" t="n"/>
      <c r="CB36" s="202" t="n"/>
      <c r="CC36" s="202" t="n"/>
      <c r="CD36" s="202" t="n"/>
      <c r="CE36" s="202" t="n"/>
      <c r="CF36" s="202" t="n"/>
      <c r="CG36" s="202" t="n"/>
      <c r="CH36" s="202" t="n"/>
      <c r="CI36" s="202" t="n"/>
      <c r="CJ36" s="202" t="n"/>
      <c r="CK36" s="202" t="n"/>
      <c r="CL36" s="202" t="n"/>
      <c r="CM36" s="202" t="n"/>
      <c r="CN36" s="202" t="n"/>
      <c r="CO36" s="202" t="n"/>
      <c r="CP36" s="202" t="n"/>
      <c r="CQ36" s="202" t="n"/>
      <c r="CR36" s="202" t="n"/>
      <c r="CS36" s="202" t="n"/>
      <c r="CT36" s="202" t="n"/>
      <c r="CU36" s="202" t="n"/>
      <c r="CV36" s="202" t="n"/>
      <c r="CW36" s="202" t="n"/>
      <c r="CX36" s="202" t="n"/>
      <c r="CY36" s="202" t="n"/>
      <c r="CZ36" s="202" t="n"/>
      <c r="DA36" s="202" t="n"/>
      <c r="DB36" s="202" t="n"/>
      <c r="DC36" s="202" t="n"/>
      <c r="DD36" s="202" t="n"/>
      <c r="DE36" s="202" t="n"/>
      <c r="DF36" s="202" t="n"/>
      <c r="DG36" s="202" t="n"/>
      <c r="DH36" s="202" t="n"/>
      <c r="DI36" s="202" t="n"/>
      <c r="DJ36" s="202" t="n"/>
      <c r="DK36" s="202" t="n"/>
      <c r="DL36" s="202" t="n"/>
      <c r="DM36" s="202" t="n"/>
      <c r="DN36" s="202" t="n"/>
      <c r="DO36" s="202" t="n"/>
      <c r="DP36" s="202" t="n"/>
      <c r="DQ36" s="202" t="n"/>
      <c r="DR36" s="202" t="n"/>
      <c r="DS36" s="202" t="n"/>
      <c r="DT36" s="202" t="n"/>
      <c r="DU36" s="202" t="n"/>
      <c r="DV36" s="202" t="n"/>
      <c r="DW36" s="202" t="n"/>
      <c r="DX36" s="202" t="n"/>
      <c r="DY36" s="202" t="n"/>
      <c r="DZ36" s="202" t="n"/>
      <c r="EA36" s="202" t="n"/>
      <c r="EB36" s="202" t="n"/>
      <c r="EC36" s="202" t="n"/>
      <c r="ED36" s="202" t="n"/>
      <c r="EE36" s="202" t="n"/>
      <c r="EF36" s="202" t="n"/>
      <c r="EG36" s="202" t="n"/>
      <c r="EH36" s="202" t="n"/>
      <c r="EI36" s="202" t="n"/>
      <c r="EJ36" s="202" t="n"/>
      <c r="EK36" s="202" t="n"/>
      <c r="EL36" s="202" t="n"/>
      <c r="EM36" s="202" t="n"/>
      <c r="EN36" s="202" t="n"/>
      <c r="EO36" s="202" t="n"/>
      <c r="EP36" s="202" t="n"/>
      <c r="EQ36" s="202" t="n"/>
      <c r="ER36" s="202" t="n"/>
      <c r="ES36" s="202" t="n"/>
      <c r="ET36" s="202" t="n"/>
      <c r="EU36" s="202" t="n"/>
      <c r="EV36" s="202" t="n"/>
      <c r="EW36" s="202" t="n"/>
      <c r="EX36" s="202" t="n"/>
      <c r="EY36" s="202" t="n"/>
      <c r="EZ36" s="202" t="n"/>
      <c r="FA36" s="202" t="n"/>
      <c r="FB36" s="202" t="n"/>
      <c r="FC36" s="202" t="n"/>
      <c r="FD36" s="202" t="n"/>
      <c r="FE36" s="202" t="n"/>
      <c r="FF36" s="202" t="n"/>
      <c r="FG36" s="202" t="n"/>
      <c r="FH36" s="202" t="n"/>
      <c r="FI36" s="202" t="n"/>
      <c r="FJ36" s="202" t="n"/>
      <c r="FK36" s="202" t="n"/>
      <c r="FL36" s="202" t="n"/>
      <c r="FM36" s="202" t="n"/>
      <c r="FN36" s="202" t="n"/>
      <c r="FO36" s="202" t="n"/>
      <c r="FP36" s="202" t="n"/>
      <c r="FQ36" s="202" t="n"/>
      <c r="FR36" s="202" t="n"/>
      <c r="FS36" s="202" t="n"/>
      <c r="FT36" s="202" t="n"/>
      <c r="FU36" s="202" t="n"/>
      <c r="FV36" s="202" t="n"/>
      <c r="FW36" s="202" t="n"/>
      <c r="FX36" s="202" t="n"/>
      <c r="FY36" s="202" t="n"/>
      <c r="FZ36" s="202" t="n"/>
      <c r="GA36" s="202" t="n"/>
      <c r="GB36" s="202" t="n"/>
      <c r="GC36" s="202" t="n"/>
      <c r="GD36" s="202" t="n"/>
      <c r="GE36" s="202" t="n"/>
      <c r="GF36" s="202" t="n"/>
      <c r="GG36" s="202" t="n"/>
      <c r="GH36" s="202" t="n"/>
      <c r="GI36" s="202" t="n"/>
      <c r="GJ36" s="202" t="n"/>
      <c r="GK36" s="202" t="n"/>
      <c r="GL36" s="202" t="n"/>
      <c r="GM36" s="202" t="n"/>
      <c r="GN36" s="202" t="n"/>
      <c r="GO36" s="202" t="n"/>
      <c r="GP36" s="202" t="n"/>
      <c r="GQ36" s="202" t="n"/>
      <c r="GR36" s="202" t="n"/>
      <c r="GS36" s="202" t="n"/>
      <c r="GT36" s="202" t="n"/>
      <c r="GU36" s="202" t="n"/>
      <c r="GV36" s="202" t="n"/>
      <c r="GW36" s="202" t="n"/>
      <c r="GX36" s="202" t="n"/>
      <c r="GY36" s="202" t="n"/>
      <c r="GZ36" s="202" t="n"/>
      <c r="HA36" s="202" t="n"/>
      <c r="HB36" s="202" t="n"/>
      <c r="HC36" s="202" t="n"/>
      <c r="HD36" s="202" t="n"/>
      <c r="HE36" s="202" t="n"/>
      <c r="HF36" s="202" t="n"/>
      <c r="HG36" s="202" t="n"/>
      <c r="HH36" s="202" t="n"/>
      <c r="HI36" s="202" t="n"/>
      <c r="HJ36" s="202" t="n"/>
      <c r="HK36" s="202" t="n"/>
      <c r="HL36" s="202" t="n"/>
      <c r="HM36" s="202" t="n"/>
      <c r="HN36" s="202" t="n"/>
      <c r="HO36" s="202" t="n"/>
      <c r="HP36" s="202" t="n"/>
      <c r="HQ36" s="202" t="n"/>
      <c r="HR36" s="202" t="n"/>
      <c r="HS36" s="202" t="n"/>
      <c r="HT36" s="202" t="n"/>
      <c r="HU36" s="202" t="n"/>
      <c r="HV36" s="202" t="n"/>
      <c r="HW36" s="202" t="n"/>
      <c r="HX36" s="202" t="n"/>
      <c r="HY36" s="202" t="n"/>
      <c r="HZ36" s="202" t="n"/>
      <c r="IA36" s="202" t="n"/>
      <c r="IB36" s="202" t="n"/>
      <c r="IC36" s="202" t="n"/>
      <c r="ID36" s="202" t="n"/>
      <c r="IE36" s="202" t="n"/>
      <c r="IF36" s="202" t="n"/>
      <c r="IG36" s="202" t="n"/>
      <c r="IH36" s="202" t="n"/>
      <c r="II36" s="202" t="n"/>
      <c r="IJ36" s="202" t="n"/>
      <c r="IK36" s="202" t="n"/>
      <c r="IL36" s="202" t="n"/>
    </row>
    <row r="37" hidden="1" outlineLevel="1" ht="25" customFormat="1" customHeight="1" s="412">
      <c r="A37" s="239" t="inlineStr">
        <is>
          <t>3.4.2</t>
        </is>
      </c>
      <c r="B37" s="230" t="inlineStr">
        <is>
          <t>排球馆工程</t>
        </is>
      </c>
      <c r="C37" s="418" t="n"/>
      <c r="D37" s="232" t="inlineStr">
        <is>
          <t>片</t>
        </is>
      </c>
      <c r="E37" s="419" t="n"/>
      <c r="F37" s="382">
        <f>C37/E37*10000</f>
        <v/>
      </c>
      <c r="G37" s="234" t="inlineStr">
        <is>
          <t>场地数量</t>
        </is>
      </c>
      <c r="H37" s="232" t="inlineStr">
        <is>
          <t>专业工程指标</t>
        </is>
      </c>
      <c r="I37" s="202" t="n"/>
      <c r="J37" s="202" t="n"/>
      <c r="K37" s="202" t="n"/>
      <c r="L37" s="202" t="n"/>
      <c r="M37" s="202" t="n"/>
      <c r="N37" s="202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  <c r="AH37" s="202" t="n"/>
      <c r="AI37" s="202" t="n"/>
      <c r="AJ37" s="202" t="n"/>
      <c r="AK37" s="202" t="n"/>
      <c r="AL37" s="202" t="n"/>
      <c r="AM37" s="202" t="n"/>
      <c r="AN37" s="202" t="n"/>
      <c r="AO37" s="202" t="n"/>
      <c r="AP37" s="202" t="n"/>
      <c r="AQ37" s="202" t="n"/>
      <c r="AR37" s="202" t="n"/>
      <c r="AS37" s="202" t="n"/>
      <c r="AT37" s="202" t="n"/>
      <c r="AU37" s="202" t="n"/>
      <c r="AV37" s="202" t="n"/>
      <c r="AW37" s="202" t="n"/>
      <c r="AX37" s="202" t="n"/>
      <c r="AY37" s="202" t="n"/>
      <c r="AZ37" s="202" t="n"/>
      <c r="BA37" s="202" t="n"/>
      <c r="BB37" s="202" t="n"/>
      <c r="BC37" s="202" t="n"/>
      <c r="BD37" s="202" t="n"/>
      <c r="BE37" s="202" t="n"/>
      <c r="BF37" s="202" t="n"/>
      <c r="BG37" s="202" t="n"/>
      <c r="BH37" s="202" t="n"/>
      <c r="BI37" s="202" t="n"/>
      <c r="BJ37" s="202" t="n"/>
      <c r="BK37" s="202" t="n"/>
      <c r="BL37" s="202" t="n"/>
      <c r="BM37" s="202" t="n"/>
      <c r="BN37" s="202" t="n"/>
      <c r="BO37" s="202" t="n"/>
      <c r="BP37" s="202" t="n"/>
      <c r="BQ37" s="202" t="n"/>
      <c r="BR37" s="202" t="n"/>
      <c r="BS37" s="202" t="n"/>
      <c r="BT37" s="202" t="n"/>
      <c r="BU37" s="202" t="n"/>
      <c r="BV37" s="202" t="n"/>
      <c r="BW37" s="202" t="n"/>
      <c r="BX37" s="202" t="n"/>
      <c r="BY37" s="202" t="n"/>
      <c r="BZ37" s="202" t="n"/>
      <c r="CA37" s="202" t="n"/>
      <c r="CB37" s="202" t="n"/>
      <c r="CC37" s="202" t="n"/>
      <c r="CD37" s="202" t="n"/>
      <c r="CE37" s="202" t="n"/>
      <c r="CF37" s="202" t="n"/>
      <c r="CG37" s="202" t="n"/>
      <c r="CH37" s="202" t="n"/>
      <c r="CI37" s="202" t="n"/>
      <c r="CJ37" s="202" t="n"/>
      <c r="CK37" s="202" t="n"/>
      <c r="CL37" s="202" t="n"/>
      <c r="CM37" s="202" t="n"/>
      <c r="CN37" s="202" t="n"/>
      <c r="CO37" s="202" t="n"/>
      <c r="CP37" s="202" t="n"/>
      <c r="CQ37" s="202" t="n"/>
      <c r="CR37" s="202" t="n"/>
      <c r="CS37" s="202" t="n"/>
      <c r="CT37" s="202" t="n"/>
      <c r="CU37" s="202" t="n"/>
      <c r="CV37" s="202" t="n"/>
      <c r="CW37" s="202" t="n"/>
      <c r="CX37" s="202" t="n"/>
      <c r="CY37" s="202" t="n"/>
      <c r="CZ37" s="202" t="n"/>
      <c r="DA37" s="202" t="n"/>
      <c r="DB37" s="202" t="n"/>
      <c r="DC37" s="202" t="n"/>
      <c r="DD37" s="202" t="n"/>
      <c r="DE37" s="202" t="n"/>
      <c r="DF37" s="202" t="n"/>
      <c r="DG37" s="202" t="n"/>
      <c r="DH37" s="202" t="n"/>
      <c r="DI37" s="202" t="n"/>
      <c r="DJ37" s="202" t="n"/>
      <c r="DK37" s="202" t="n"/>
      <c r="DL37" s="202" t="n"/>
      <c r="DM37" s="202" t="n"/>
      <c r="DN37" s="202" t="n"/>
      <c r="DO37" s="202" t="n"/>
      <c r="DP37" s="202" t="n"/>
      <c r="DQ37" s="202" t="n"/>
      <c r="DR37" s="202" t="n"/>
      <c r="DS37" s="202" t="n"/>
      <c r="DT37" s="202" t="n"/>
      <c r="DU37" s="202" t="n"/>
      <c r="DV37" s="202" t="n"/>
      <c r="DW37" s="202" t="n"/>
      <c r="DX37" s="202" t="n"/>
      <c r="DY37" s="202" t="n"/>
      <c r="DZ37" s="202" t="n"/>
      <c r="EA37" s="202" t="n"/>
      <c r="EB37" s="202" t="n"/>
      <c r="EC37" s="202" t="n"/>
      <c r="ED37" s="202" t="n"/>
      <c r="EE37" s="202" t="n"/>
      <c r="EF37" s="202" t="n"/>
      <c r="EG37" s="202" t="n"/>
      <c r="EH37" s="202" t="n"/>
      <c r="EI37" s="202" t="n"/>
      <c r="EJ37" s="202" t="n"/>
      <c r="EK37" s="202" t="n"/>
      <c r="EL37" s="202" t="n"/>
      <c r="EM37" s="202" t="n"/>
      <c r="EN37" s="202" t="n"/>
      <c r="EO37" s="202" t="n"/>
      <c r="EP37" s="202" t="n"/>
      <c r="EQ37" s="202" t="n"/>
      <c r="ER37" s="202" t="n"/>
      <c r="ES37" s="202" t="n"/>
      <c r="ET37" s="202" t="n"/>
      <c r="EU37" s="202" t="n"/>
      <c r="EV37" s="202" t="n"/>
      <c r="EW37" s="202" t="n"/>
      <c r="EX37" s="202" t="n"/>
      <c r="EY37" s="202" t="n"/>
      <c r="EZ37" s="202" t="n"/>
      <c r="FA37" s="202" t="n"/>
      <c r="FB37" s="202" t="n"/>
      <c r="FC37" s="202" t="n"/>
      <c r="FD37" s="202" t="n"/>
      <c r="FE37" s="202" t="n"/>
      <c r="FF37" s="202" t="n"/>
      <c r="FG37" s="202" t="n"/>
      <c r="FH37" s="202" t="n"/>
      <c r="FI37" s="202" t="n"/>
      <c r="FJ37" s="202" t="n"/>
      <c r="FK37" s="202" t="n"/>
      <c r="FL37" s="202" t="n"/>
      <c r="FM37" s="202" t="n"/>
      <c r="FN37" s="202" t="n"/>
      <c r="FO37" s="202" t="n"/>
      <c r="FP37" s="202" t="n"/>
      <c r="FQ37" s="202" t="n"/>
      <c r="FR37" s="202" t="n"/>
      <c r="FS37" s="202" t="n"/>
      <c r="FT37" s="202" t="n"/>
      <c r="FU37" s="202" t="n"/>
      <c r="FV37" s="202" t="n"/>
      <c r="FW37" s="202" t="n"/>
      <c r="FX37" s="202" t="n"/>
      <c r="FY37" s="202" t="n"/>
      <c r="FZ37" s="202" t="n"/>
      <c r="GA37" s="202" t="n"/>
      <c r="GB37" s="202" t="n"/>
      <c r="GC37" s="202" t="n"/>
      <c r="GD37" s="202" t="n"/>
      <c r="GE37" s="202" t="n"/>
      <c r="GF37" s="202" t="n"/>
      <c r="GG37" s="202" t="n"/>
      <c r="GH37" s="202" t="n"/>
      <c r="GI37" s="202" t="n"/>
      <c r="GJ37" s="202" t="n"/>
      <c r="GK37" s="202" t="n"/>
      <c r="GL37" s="202" t="n"/>
      <c r="GM37" s="202" t="n"/>
      <c r="GN37" s="202" t="n"/>
      <c r="GO37" s="202" t="n"/>
      <c r="GP37" s="202" t="n"/>
      <c r="GQ37" s="202" t="n"/>
      <c r="GR37" s="202" t="n"/>
      <c r="GS37" s="202" t="n"/>
      <c r="GT37" s="202" t="n"/>
      <c r="GU37" s="202" t="n"/>
      <c r="GV37" s="202" t="n"/>
      <c r="GW37" s="202" t="n"/>
      <c r="GX37" s="202" t="n"/>
      <c r="GY37" s="202" t="n"/>
      <c r="GZ37" s="202" t="n"/>
      <c r="HA37" s="202" t="n"/>
      <c r="HB37" s="202" t="n"/>
      <c r="HC37" s="202" t="n"/>
      <c r="HD37" s="202" t="n"/>
      <c r="HE37" s="202" t="n"/>
      <c r="HF37" s="202" t="n"/>
      <c r="HG37" s="202" t="n"/>
      <c r="HH37" s="202" t="n"/>
      <c r="HI37" s="202" t="n"/>
      <c r="HJ37" s="202" t="n"/>
      <c r="HK37" s="202" t="n"/>
      <c r="HL37" s="202" t="n"/>
      <c r="HM37" s="202" t="n"/>
      <c r="HN37" s="202" t="n"/>
      <c r="HO37" s="202" t="n"/>
      <c r="HP37" s="202" t="n"/>
      <c r="HQ37" s="202" t="n"/>
      <c r="HR37" s="202" t="n"/>
      <c r="HS37" s="202" t="n"/>
      <c r="HT37" s="202" t="n"/>
      <c r="HU37" s="202" t="n"/>
      <c r="HV37" s="202" t="n"/>
      <c r="HW37" s="202" t="n"/>
      <c r="HX37" s="202" t="n"/>
      <c r="HY37" s="202" t="n"/>
      <c r="HZ37" s="202" t="n"/>
      <c r="IA37" s="202" t="n"/>
      <c r="IB37" s="202" t="n"/>
      <c r="IC37" s="202" t="n"/>
      <c r="ID37" s="202" t="n"/>
      <c r="IE37" s="202" t="n"/>
      <c r="IF37" s="202" t="n"/>
      <c r="IG37" s="202" t="n"/>
      <c r="IH37" s="202" t="n"/>
      <c r="II37" s="202" t="n"/>
      <c r="IJ37" s="202" t="n"/>
      <c r="IK37" s="202" t="n"/>
      <c r="IL37" s="202" t="n"/>
    </row>
    <row r="38" hidden="1" outlineLevel="1" ht="25" customFormat="1" customHeight="1" s="412">
      <c r="A38" s="239" t="inlineStr">
        <is>
          <t>3.4.3</t>
        </is>
      </c>
      <c r="B38" s="230" t="inlineStr">
        <is>
          <t>篮球馆工程</t>
        </is>
      </c>
      <c r="C38" s="418" t="n"/>
      <c r="D38" s="232" t="inlineStr">
        <is>
          <t>片</t>
        </is>
      </c>
      <c r="E38" s="419" t="n"/>
      <c r="F38" s="382">
        <f>C38/E38*10000</f>
        <v/>
      </c>
      <c r="G38" s="234" t="inlineStr">
        <is>
          <t>场地数量</t>
        </is>
      </c>
      <c r="H38" s="232" t="inlineStr">
        <is>
          <t>专业工程指标</t>
        </is>
      </c>
      <c r="I38" s="202" t="n"/>
      <c r="J38" s="202" t="n"/>
      <c r="K38" s="202" t="n"/>
      <c r="L38" s="202" t="n"/>
      <c r="M38" s="202" t="n"/>
      <c r="N38" s="202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  <c r="AH38" s="202" t="n"/>
      <c r="AI38" s="202" t="n"/>
      <c r="AJ38" s="202" t="n"/>
      <c r="AK38" s="202" t="n"/>
      <c r="AL38" s="202" t="n"/>
      <c r="AM38" s="202" t="n"/>
      <c r="AN38" s="202" t="n"/>
      <c r="AO38" s="202" t="n"/>
      <c r="AP38" s="202" t="n"/>
      <c r="AQ38" s="202" t="n"/>
      <c r="AR38" s="202" t="n"/>
      <c r="AS38" s="202" t="n"/>
      <c r="AT38" s="202" t="n"/>
      <c r="AU38" s="202" t="n"/>
      <c r="AV38" s="202" t="n"/>
      <c r="AW38" s="202" t="n"/>
      <c r="AX38" s="202" t="n"/>
      <c r="AY38" s="202" t="n"/>
      <c r="AZ38" s="202" t="n"/>
      <c r="BA38" s="202" t="n"/>
      <c r="BB38" s="202" t="n"/>
      <c r="BC38" s="202" t="n"/>
      <c r="BD38" s="202" t="n"/>
      <c r="BE38" s="202" t="n"/>
      <c r="BF38" s="202" t="n"/>
      <c r="BG38" s="202" t="n"/>
      <c r="BH38" s="202" t="n"/>
      <c r="BI38" s="202" t="n"/>
      <c r="BJ38" s="202" t="n"/>
      <c r="BK38" s="202" t="n"/>
      <c r="BL38" s="202" t="n"/>
      <c r="BM38" s="202" t="n"/>
      <c r="BN38" s="202" t="n"/>
      <c r="BO38" s="202" t="n"/>
      <c r="BP38" s="202" t="n"/>
      <c r="BQ38" s="202" t="n"/>
      <c r="BR38" s="202" t="n"/>
      <c r="BS38" s="202" t="n"/>
      <c r="BT38" s="202" t="n"/>
      <c r="BU38" s="202" t="n"/>
      <c r="BV38" s="202" t="n"/>
      <c r="BW38" s="202" t="n"/>
      <c r="BX38" s="202" t="n"/>
      <c r="BY38" s="202" t="n"/>
      <c r="BZ38" s="202" t="n"/>
      <c r="CA38" s="202" t="n"/>
      <c r="CB38" s="202" t="n"/>
      <c r="CC38" s="202" t="n"/>
      <c r="CD38" s="202" t="n"/>
      <c r="CE38" s="202" t="n"/>
      <c r="CF38" s="202" t="n"/>
      <c r="CG38" s="202" t="n"/>
      <c r="CH38" s="202" t="n"/>
      <c r="CI38" s="202" t="n"/>
      <c r="CJ38" s="202" t="n"/>
      <c r="CK38" s="202" t="n"/>
      <c r="CL38" s="202" t="n"/>
      <c r="CM38" s="202" t="n"/>
      <c r="CN38" s="202" t="n"/>
      <c r="CO38" s="202" t="n"/>
      <c r="CP38" s="202" t="n"/>
      <c r="CQ38" s="202" t="n"/>
      <c r="CR38" s="202" t="n"/>
      <c r="CS38" s="202" t="n"/>
      <c r="CT38" s="202" t="n"/>
      <c r="CU38" s="202" t="n"/>
      <c r="CV38" s="202" t="n"/>
      <c r="CW38" s="202" t="n"/>
      <c r="CX38" s="202" t="n"/>
      <c r="CY38" s="202" t="n"/>
      <c r="CZ38" s="202" t="n"/>
      <c r="DA38" s="202" t="n"/>
      <c r="DB38" s="202" t="n"/>
      <c r="DC38" s="202" t="n"/>
      <c r="DD38" s="202" t="n"/>
      <c r="DE38" s="202" t="n"/>
      <c r="DF38" s="202" t="n"/>
      <c r="DG38" s="202" t="n"/>
      <c r="DH38" s="202" t="n"/>
      <c r="DI38" s="202" t="n"/>
      <c r="DJ38" s="202" t="n"/>
      <c r="DK38" s="202" t="n"/>
      <c r="DL38" s="202" t="n"/>
      <c r="DM38" s="202" t="n"/>
      <c r="DN38" s="202" t="n"/>
      <c r="DO38" s="202" t="n"/>
      <c r="DP38" s="202" t="n"/>
      <c r="DQ38" s="202" t="n"/>
      <c r="DR38" s="202" t="n"/>
      <c r="DS38" s="202" t="n"/>
      <c r="DT38" s="202" t="n"/>
      <c r="DU38" s="202" t="n"/>
      <c r="DV38" s="202" t="n"/>
      <c r="DW38" s="202" t="n"/>
      <c r="DX38" s="202" t="n"/>
      <c r="DY38" s="202" t="n"/>
      <c r="DZ38" s="202" t="n"/>
      <c r="EA38" s="202" t="n"/>
      <c r="EB38" s="202" t="n"/>
      <c r="EC38" s="202" t="n"/>
      <c r="ED38" s="202" t="n"/>
      <c r="EE38" s="202" t="n"/>
      <c r="EF38" s="202" t="n"/>
      <c r="EG38" s="202" t="n"/>
      <c r="EH38" s="202" t="n"/>
      <c r="EI38" s="202" t="n"/>
      <c r="EJ38" s="202" t="n"/>
      <c r="EK38" s="202" t="n"/>
      <c r="EL38" s="202" t="n"/>
      <c r="EM38" s="202" t="n"/>
      <c r="EN38" s="202" t="n"/>
      <c r="EO38" s="202" t="n"/>
      <c r="EP38" s="202" t="n"/>
      <c r="EQ38" s="202" t="n"/>
      <c r="ER38" s="202" t="n"/>
      <c r="ES38" s="202" t="n"/>
      <c r="ET38" s="202" t="n"/>
      <c r="EU38" s="202" t="n"/>
      <c r="EV38" s="202" t="n"/>
      <c r="EW38" s="202" t="n"/>
      <c r="EX38" s="202" t="n"/>
      <c r="EY38" s="202" t="n"/>
      <c r="EZ38" s="202" t="n"/>
      <c r="FA38" s="202" t="n"/>
      <c r="FB38" s="202" t="n"/>
      <c r="FC38" s="202" t="n"/>
      <c r="FD38" s="202" t="n"/>
      <c r="FE38" s="202" t="n"/>
      <c r="FF38" s="202" t="n"/>
      <c r="FG38" s="202" t="n"/>
      <c r="FH38" s="202" t="n"/>
      <c r="FI38" s="202" t="n"/>
      <c r="FJ38" s="202" t="n"/>
      <c r="FK38" s="202" t="n"/>
      <c r="FL38" s="202" t="n"/>
      <c r="FM38" s="202" t="n"/>
      <c r="FN38" s="202" t="n"/>
      <c r="FO38" s="202" t="n"/>
      <c r="FP38" s="202" t="n"/>
      <c r="FQ38" s="202" t="n"/>
      <c r="FR38" s="202" t="n"/>
      <c r="FS38" s="202" t="n"/>
      <c r="FT38" s="202" t="n"/>
      <c r="FU38" s="202" t="n"/>
      <c r="FV38" s="202" t="n"/>
      <c r="FW38" s="202" t="n"/>
      <c r="FX38" s="202" t="n"/>
      <c r="FY38" s="202" t="n"/>
      <c r="FZ38" s="202" t="n"/>
      <c r="GA38" s="202" t="n"/>
      <c r="GB38" s="202" t="n"/>
      <c r="GC38" s="202" t="n"/>
      <c r="GD38" s="202" t="n"/>
      <c r="GE38" s="202" t="n"/>
      <c r="GF38" s="202" t="n"/>
      <c r="GG38" s="202" t="n"/>
      <c r="GH38" s="202" t="n"/>
      <c r="GI38" s="202" t="n"/>
      <c r="GJ38" s="202" t="n"/>
      <c r="GK38" s="202" t="n"/>
      <c r="GL38" s="202" t="n"/>
      <c r="GM38" s="202" t="n"/>
      <c r="GN38" s="202" t="n"/>
      <c r="GO38" s="202" t="n"/>
      <c r="GP38" s="202" t="n"/>
      <c r="GQ38" s="202" t="n"/>
      <c r="GR38" s="202" t="n"/>
      <c r="GS38" s="202" t="n"/>
      <c r="GT38" s="202" t="n"/>
      <c r="GU38" s="202" t="n"/>
      <c r="GV38" s="202" t="n"/>
      <c r="GW38" s="202" t="n"/>
      <c r="GX38" s="202" t="n"/>
      <c r="GY38" s="202" t="n"/>
      <c r="GZ38" s="202" t="n"/>
      <c r="HA38" s="202" t="n"/>
      <c r="HB38" s="202" t="n"/>
      <c r="HC38" s="202" t="n"/>
      <c r="HD38" s="202" t="n"/>
      <c r="HE38" s="202" t="n"/>
      <c r="HF38" s="202" t="n"/>
      <c r="HG38" s="202" t="n"/>
      <c r="HH38" s="202" t="n"/>
      <c r="HI38" s="202" t="n"/>
      <c r="HJ38" s="202" t="n"/>
      <c r="HK38" s="202" t="n"/>
      <c r="HL38" s="202" t="n"/>
      <c r="HM38" s="202" t="n"/>
      <c r="HN38" s="202" t="n"/>
      <c r="HO38" s="202" t="n"/>
      <c r="HP38" s="202" t="n"/>
      <c r="HQ38" s="202" t="n"/>
      <c r="HR38" s="202" t="n"/>
      <c r="HS38" s="202" t="n"/>
      <c r="HT38" s="202" t="n"/>
      <c r="HU38" s="202" t="n"/>
      <c r="HV38" s="202" t="n"/>
      <c r="HW38" s="202" t="n"/>
      <c r="HX38" s="202" t="n"/>
      <c r="HY38" s="202" t="n"/>
      <c r="HZ38" s="202" t="n"/>
      <c r="IA38" s="202" t="n"/>
      <c r="IB38" s="202" t="n"/>
      <c r="IC38" s="202" t="n"/>
      <c r="ID38" s="202" t="n"/>
      <c r="IE38" s="202" t="n"/>
      <c r="IF38" s="202" t="n"/>
      <c r="IG38" s="202" t="n"/>
      <c r="IH38" s="202" t="n"/>
      <c r="II38" s="202" t="n"/>
      <c r="IJ38" s="202" t="n"/>
      <c r="IK38" s="202" t="n"/>
      <c r="IL38" s="202" t="n"/>
    </row>
    <row r="39" hidden="1" outlineLevel="1" ht="25" customFormat="1" customHeight="1" s="412">
      <c r="A39" s="239" t="inlineStr">
        <is>
          <t>3.4.4</t>
        </is>
      </c>
      <c r="B39" s="230" t="inlineStr">
        <is>
          <t>羽毛球馆工程</t>
        </is>
      </c>
      <c r="C39" s="418" t="n"/>
      <c r="D39" s="232" t="inlineStr">
        <is>
          <t>片</t>
        </is>
      </c>
      <c r="E39" s="419" t="n"/>
      <c r="F39" s="382">
        <f>C39/E39*10000</f>
        <v/>
      </c>
      <c r="G39" s="234" t="inlineStr">
        <is>
          <t>场地数量</t>
        </is>
      </c>
      <c r="H39" s="232" t="inlineStr">
        <is>
          <t>专业工程指标</t>
        </is>
      </c>
      <c r="I39" s="202" t="n"/>
      <c r="J39" s="202" t="n"/>
      <c r="K39" s="202" t="n"/>
      <c r="L39" s="202" t="n"/>
      <c r="M39" s="202" t="n"/>
      <c r="N39" s="202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  <c r="AH39" s="202" t="n"/>
      <c r="AI39" s="202" t="n"/>
      <c r="AJ39" s="202" t="n"/>
      <c r="AK39" s="202" t="n"/>
      <c r="AL39" s="202" t="n"/>
      <c r="AM39" s="202" t="n"/>
      <c r="AN39" s="202" t="n"/>
      <c r="AO39" s="202" t="n"/>
      <c r="AP39" s="202" t="n"/>
      <c r="AQ39" s="202" t="n"/>
      <c r="AR39" s="202" t="n"/>
      <c r="AS39" s="202" t="n"/>
      <c r="AT39" s="202" t="n"/>
      <c r="AU39" s="202" t="n"/>
      <c r="AV39" s="202" t="n"/>
      <c r="AW39" s="202" t="n"/>
      <c r="AX39" s="202" t="n"/>
      <c r="AY39" s="202" t="n"/>
      <c r="AZ39" s="202" t="n"/>
      <c r="BA39" s="202" t="n"/>
      <c r="BB39" s="202" t="n"/>
      <c r="BC39" s="202" t="n"/>
      <c r="BD39" s="202" t="n"/>
      <c r="BE39" s="202" t="n"/>
      <c r="BF39" s="202" t="n"/>
      <c r="BG39" s="202" t="n"/>
      <c r="BH39" s="202" t="n"/>
      <c r="BI39" s="202" t="n"/>
      <c r="BJ39" s="202" t="n"/>
      <c r="BK39" s="202" t="n"/>
      <c r="BL39" s="202" t="n"/>
      <c r="BM39" s="202" t="n"/>
      <c r="BN39" s="202" t="n"/>
      <c r="BO39" s="202" t="n"/>
      <c r="BP39" s="202" t="n"/>
      <c r="BQ39" s="202" t="n"/>
      <c r="BR39" s="202" t="n"/>
      <c r="BS39" s="202" t="n"/>
      <c r="BT39" s="202" t="n"/>
      <c r="BU39" s="202" t="n"/>
      <c r="BV39" s="202" t="n"/>
      <c r="BW39" s="202" t="n"/>
      <c r="BX39" s="202" t="n"/>
      <c r="BY39" s="202" t="n"/>
      <c r="BZ39" s="202" t="n"/>
      <c r="CA39" s="202" t="n"/>
      <c r="CB39" s="202" t="n"/>
      <c r="CC39" s="202" t="n"/>
      <c r="CD39" s="202" t="n"/>
      <c r="CE39" s="202" t="n"/>
      <c r="CF39" s="202" t="n"/>
      <c r="CG39" s="202" t="n"/>
      <c r="CH39" s="202" t="n"/>
      <c r="CI39" s="202" t="n"/>
      <c r="CJ39" s="202" t="n"/>
      <c r="CK39" s="202" t="n"/>
      <c r="CL39" s="202" t="n"/>
      <c r="CM39" s="202" t="n"/>
      <c r="CN39" s="202" t="n"/>
      <c r="CO39" s="202" t="n"/>
      <c r="CP39" s="202" t="n"/>
      <c r="CQ39" s="202" t="n"/>
      <c r="CR39" s="202" t="n"/>
      <c r="CS39" s="202" t="n"/>
      <c r="CT39" s="202" t="n"/>
      <c r="CU39" s="202" t="n"/>
      <c r="CV39" s="202" t="n"/>
      <c r="CW39" s="202" t="n"/>
      <c r="CX39" s="202" t="n"/>
      <c r="CY39" s="202" t="n"/>
      <c r="CZ39" s="202" t="n"/>
      <c r="DA39" s="202" t="n"/>
      <c r="DB39" s="202" t="n"/>
      <c r="DC39" s="202" t="n"/>
      <c r="DD39" s="202" t="n"/>
      <c r="DE39" s="202" t="n"/>
      <c r="DF39" s="202" t="n"/>
      <c r="DG39" s="202" t="n"/>
      <c r="DH39" s="202" t="n"/>
      <c r="DI39" s="202" t="n"/>
      <c r="DJ39" s="202" t="n"/>
      <c r="DK39" s="202" t="n"/>
      <c r="DL39" s="202" t="n"/>
      <c r="DM39" s="202" t="n"/>
      <c r="DN39" s="202" t="n"/>
      <c r="DO39" s="202" t="n"/>
      <c r="DP39" s="202" t="n"/>
      <c r="DQ39" s="202" t="n"/>
      <c r="DR39" s="202" t="n"/>
      <c r="DS39" s="202" t="n"/>
      <c r="DT39" s="202" t="n"/>
      <c r="DU39" s="202" t="n"/>
      <c r="DV39" s="202" t="n"/>
      <c r="DW39" s="202" t="n"/>
      <c r="DX39" s="202" t="n"/>
      <c r="DY39" s="202" t="n"/>
      <c r="DZ39" s="202" t="n"/>
      <c r="EA39" s="202" t="n"/>
      <c r="EB39" s="202" t="n"/>
      <c r="EC39" s="202" t="n"/>
      <c r="ED39" s="202" t="n"/>
      <c r="EE39" s="202" t="n"/>
      <c r="EF39" s="202" t="n"/>
      <c r="EG39" s="202" t="n"/>
      <c r="EH39" s="202" t="n"/>
      <c r="EI39" s="202" t="n"/>
      <c r="EJ39" s="202" t="n"/>
      <c r="EK39" s="202" t="n"/>
      <c r="EL39" s="202" t="n"/>
      <c r="EM39" s="202" t="n"/>
      <c r="EN39" s="202" t="n"/>
      <c r="EO39" s="202" t="n"/>
      <c r="EP39" s="202" t="n"/>
      <c r="EQ39" s="202" t="n"/>
      <c r="ER39" s="202" t="n"/>
      <c r="ES39" s="202" t="n"/>
      <c r="ET39" s="202" t="n"/>
      <c r="EU39" s="202" t="n"/>
      <c r="EV39" s="202" t="n"/>
      <c r="EW39" s="202" t="n"/>
      <c r="EX39" s="202" t="n"/>
      <c r="EY39" s="202" t="n"/>
      <c r="EZ39" s="202" t="n"/>
      <c r="FA39" s="202" t="n"/>
      <c r="FB39" s="202" t="n"/>
      <c r="FC39" s="202" t="n"/>
      <c r="FD39" s="202" t="n"/>
      <c r="FE39" s="202" t="n"/>
      <c r="FF39" s="202" t="n"/>
      <c r="FG39" s="202" t="n"/>
      <c r="FH39" s="202" t="n"/>
      <c r="FI39" s="202" t="n"/>
      <c r="FJ39" s="202" t="n"/>
      <c r="FK39" s="202" t="n"/>
      <c r="FL39" s="202" t="n"/>
      <c r="FM39" s="202" t="n"/>
      <c r="FN39" s="202" t="n"/>
      <c r="FO39" s="202" t="n"/>
      <c r="FP39" s="202" t="n"/>
      <c r="FQ39" s="202" t="n"/>
      <c r="FR39" s="202" t="n"/>
      <c r="FS39" s="202" t="n"/>
      <c r="FT39" s="202" t="n"/>
      <c r="FU39" s="202" t="n"/>
      <c r="FV39" s="202" t="n"/>
      <c r="FW39" s="202" t="n"/>
      <c r="FX39" s="202" t="n"/>
      <c r="FY39" s="202" t="n"/>
      <c r="FZ39" s="202" t="n"/>
      <c r="GA39" s="202" t="n"/>
      <c r="GB39" s="202" t="n"/>
      <c r="GC39" s="202" t="n"/>
      <c r="GD39" s="202" t="n"/>
      <c r="GE39" s="202" t="n"/>
      <c r="GF39" s="202" t="n"/>
      <c r="GG39" s="202" t="n"/>
      <c r="GH39" s="202" t="n"/>
      <c r="GI39" s="202" t="n"/>
      <c r="GJ39" s="202" t="n"/>
      <c r="GK39" s="202" t="n"/>
      <c r="GL39" s="202" t="n"/>
      <c r="GM39" s="202" t="n"/>
      <c r="GN39" s="202" t="n"/>
      <c r="GO39" s="202" t="n"/>
      <c r="GP39" s="202" t="n"/>
      <c r="GQ39" s="202" t="n"/>
      <c r="GR39" s="202" t="n"/>
      <c r="GS39" s="202" t="n"/>
      <c r="GT39" s="202" t="n"/>
      <c r="GU39" s="202" t="n"/>
      <c r="GV39" s="202" t="n"/>
      <c r="GW39" s="202" t="n"/>
      <c r="GX39" s="202" t="n"/>
      <c r="GY39" s="202" t="n"/>
      <c r="GZ39" s="202" t="n"/>
      <c r="HA39" s="202" t="n"/>
      <c r="HB39" s="202" t="n"/>
      <c r="HC39" s="202" t="n"/>
      <c r="HD39" s="202" t="n"/>
      <c r="HE39" s="202" t="n"/>
      <c r="HF39" s="202" t="n"/>
      <c r="HG39" s="202" t="n"/>
      <c r="HH39" s="202" t="n"/>
      <c r="HI39" s="202" t="n"/>
      <c r="HJ39" s="202" t="n"/>
      <c r="HK39" s="202" t="n"/>
      <c r="HL39" s="202" t="n"/>
      <c r="HM39" s="202" t="n"/>
      <c r="HN39" s="202" t="n"/>
      <c r="HO39" s="202" t="n"/>
      <c r="HP39" s="202" t="n"/>
      <c r="HQ39" s="202" t="n"/>
      <c r="HR39" s="202" t="n"/>
      <c r="HS39" s="202" t="n"/>
      <c r="HT39" s="202" t="n"/>
      <c r="HU39" s="202" t="n"/>
      <c r="HV39" s="202" t="n"/>
      <c r="HW39" s="202" t="n"/>
      <c r="HX39" s="202" t="n"/>
      <c r="HY39" s="202" t="n"/>
      <c r="HZ39" s="202" t="n"/>
      <c r="IA39" s="202" t="n"/>
      <c r="IB39" s="202" t="n"/>
      <c r="IC39" s="202" t="n"/>
      <c r="ID39" s="202" t="n"/>
      <c r="IE39" s="202" t="n"/>
      <c r="IF39" s="202" t="n"/>
      <c r="IG39" s="202" t="n"/>
      <c r="IH39" s="202" t="n"/>
      <c r="II39" s="202" t="n"/>
      <c r="IJ39" s="202" t="n"/>
      <c r="IK39" s="202" t="n"/>
      <c r="IL39" s="202" t="n"/>
    </row>
    <row r="40" hidden="1" outlineLevel="1" ht="25" customFormat="1" customHeight="1" s="412">
      <c r="A40" s="239" t="inlineStr">
        <is>
          <t>3.4.5</t>
        </is>
      </c>
      <c r="B40" s="230" t="inlineStr">
        <is>
          <t>网球场工程</t>
        </is>
      </c>
      <c r="C40" s="418" t="n"/>
      <c r="D40" s="232" t="inlineStr">
        <is>
          <t>片</t>
        </is>
      </c>
      <c r="E40" s="419" t="n"/>
      <c r="F40" s="382">
        <f>C40/E40*10000</f>
        <v/>
      </c>
      <c r="G40" s="234" t="inlineStr">
        <is>
          <t>场地数量</t>
        </is>
      </c>
      <c r="H40" s="232" t="inlineStr">
        <is>
          <t>专业工程指标</t>
        </is>
      </c>
      <c r="I40" s="202" t="n"/>
      <c r="J40" s="202" t="n"/>
      <c r="K40" s="202" t="n"/>
      <c r="L40" s="202" t="n"/>
      <c r="M40" s="202" t="n"/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  <c r="AH40" s="202" t="n"/>
      <c r="AI40" s="202" t="n"/>
      <c r="AJ40" s="202" t="n"/>
      <c r="AK40" s="202" t="n"/>
      <c r="AL40" s="202" t="n"/>
      <c r="AM40" s="202" t="n"/>
      <c r="AN40" s="202" t="n"/>
      <c r="AO40" s="202" t="n"/>
      <c r="AP40" s="202" t="n"/>
      <c r="AQ40" s="202" t="n"/>
      <c r="AR40" s="202" t="n"/>
      <c r="AS40" s="202" t="n"/>
      <c r="AT40" s="202" t="n"/>
      <c r="AU40" s="202" t="n"/>
      <c r="AV40" s="202" t="n"/>
      <c r="AW40" s="202" t="n"/>
      <c r="AX40" s="202" t="n"/>
      <c r="AY40" s="202" t="n"/>
      <c r="AZ40" s="202" t="n"/>
      <c r="BA40" s="202" t="n"/>
      <c r="BB40" s="202" t="n"/>
      <c r="BC40" s="202" t="n"/>
      <c r="BD40" s="202" t="n"/>
      <c r="BE40" s="202" t="n"/>
      <c r="BF40" s="202" t="n"/>
      <c r="BG40" s="202" t="n"/>
      <c r="BH40" s="202" t="n"/>
      <c r="BI40" s="202" t="n"/>
      <c r="BJ40" s="202" t="n"/>
      <c r="BK40" s="202" t="n"/>
      <c r="BL40" s="202" t="n"/>
      <c r="BM40" s="202" t="n"/>
      <c r="BN40" s="202" t="n"/>
      <c r="BO40" s="202" t="n"/>
      <c r="BP40" s="202" t="n"/>
      <c r="BQ40" s="202" t="n"/>
      <c r="BR40" s="202" t="n"/>
      <c r="BS40" s="202" t="n"/>
      <c r="BT40" s="202" t="n"/>
      <c r="BU40" s="202" t="n"/>
      <c r="BV40" s="202" t="n"/>
      <c r="BW40" s="202" t="n"/>
      <c r="BX40" s="202" t="n"/>
      <c r="BY40" s="202" t="n"/>
      <c r="BZ40" s="202" t="n"/>
      <c r="CA40" s="202" t="n"/>
      <c r="CB40" s="202" t="n"/>
      <c r="CC40" s="202" t="n"/>
      <c r="CD40" s="202" t="n"/>
      <c r="CE40" s="202" t="n"/>
      <c r="CF40" s="202" t="n"/>
      <c r="CG40" s="202" t="n"/>
      <c r="CH40" s="202" t="n"/>
      <c r="CI40" s="202" t="n"/>
      <c r="CJ40" s="202" t="n"/>
      <c r="CK40" s="202" t="n"/>
      <c r="CL40" s="202" t="n"/>
      <c r="CM40" s="202" t="n"/>
      <c r="CN40" s="202" t="n"/>
      <c r="CO40" s="202" t="n"/>
      <c r="CP40" s="202" t="n"/>
      <c r="CQ40" s="202" t="n"/>
      <c r="CR40" s="202" t="n"/>
      <c r="CS40" s="202" t="n"/>
      <c r="CT40" s="202" t="n"/>
      <c r="CU40" s="202" t="n"/>
      <c r="CV40" s="202" t="n"/>
      <c r="CW40" s="202" t="n"/>
      <c r="CX40" s="202" t="n"/>
      <c r="CY40" s="202" t="n"/>
      <c r="CZ40" s="202" t="n"/>
      <c r="DA40" s="202" t="n"/>
      <c r="DB40" s="202" t="n"/>
      <c r="DC40" s="202" t="n"/>
      <c r="DD40" s="202" t="n"/>
      <c r="DE40" s="202" t="n"/>
      <c r="DF40" s="202" t="n"/>
      <c r="DG40" s="202" t="n"/>
      <c r="DH40" s="202" t="n"/>
      <c r="DI40" s="202" t="n"/>
      <c r="DJ40" s="202" t="n"/>
      <c r="DK40" s="202" t="n"/>
      <c r="DL40" s="202" t="n"/>
      <c r="DM40" s="202" t="n"/>
      <c r="DN40" s="202" t="n"/>
      <c r="DO40" s="202" t="n"/>
      <c r="DP40" s="202" t="n"/>
      <c r="DQ40" s="202" t="n"/>
      <c r="DR40" s="202" t="n"/>
      <c r="DS40" s="202" t="n"/>
      <c r="DT40" s="202" t="n"/>
      <c r="DU40" s="202" t="n"/>
      <c r="DV40" s="202" t="n"/>
      <c r="DW40" s="202" t="n"/>
      <c r="DX40" s="202" t="n"/>
      <c r="DY40" s="202" t="n"/>
      <c r="DZ40" s="202" t="n"/>
      <c r="EA40" s="202" t="n"/>
      <c r="EB40" s="202" t="n"/>
      <c r="EC40" s="202" t="n"/>
      <c r="ED40" s="202" t="n"/>
      <c r="EE40" s="202" t="n"/>
      <c r="EF40" s="202" t="n"/>
      <c r="EG40" s="202" t="n"/>
      <c r="EH40" s="202" t="n"/>
      <c r="EI40" s="202" t="n"/>
      <c r="EJ40" s="202" t="n"/>
      <c r="EK40" s="202" t="n"/>
      <c r="EL40" s="202" t="n"/>
      <c r="EM40" s="202" t="n"/>
      <c r="EN40" s="202" t="n"/>
      <c r="EO40" s="202" t="n"/>
      <c r="EP40" s="202" t="n"/>
      <c r="EQ40" s="202" t="n"/>
      <c r="ER40" s="202" t="n"/>
      <c r="ES40" s="202" t="n"/>
      <c r="ET40" s="202" t="n"/>
      <c r="EU40" s="202" t="n"/>
      <c r="EV40" s="202" t="n"/>
      <c r="EW40" s="202" t="n"/>
      <c r="EX40" s="202" t="n"/>
      <c r="EY40" s="202" t="n"/>
      <c r="EZ40" s="202" t="n"/>
      <c r="FA40" s="202" t="n"/>
      <c r="FB40" s="202" t="n"/>
      <c r="FC40" s="202" t="n"/>
      <c r="FD40" s="202" t="n"/>
      <c r="FE40" s="202" t="n"/>
      <c r="FF40" s="202" t="n"/>
      <c r="FG40" s="202" t="n"/>
      <c r="FH40" s="202" t="n"/>
      <c r="FI40" s="202" t="n"/>
      <c r="FJ40" s="202" t="n"/>
      <c r="FK40" s="202" t="n"/>
      <c r="FL40" s="202" t="n"/>
      <c r="FM40" s="202" t="n"/>
      <c r="FN40" s="202" t="n"/>
      <c r="FO40" s="202" t="n"/>
      <c r="FP40" s="202" t="n"/>
      <c r="FQ40" s="202" t="n"/>
      <c r="FR40" s="202" t="n"/>
      <c r="FS40" s="202" t="n"/>
      <c r="FT40" s="202" t="n"/>
      <c r="FU40" s="202" t="n"/>
      <c r="FV40" s="202" t="n"/>
      <c r="FW40" s="202" t="n"/>
      <c r="FX40" s="202" t="n"/>
      <c r="FY40" s="202" t="n"/>
      <c r="FZ40" s="202" t="n"/>
      <c r="GA40" s="202" t="n"/>
      <c r="GB40" s="202" t="n"/>
      <c r="GC40" s="202" t="n"/>
      <c r="GD40" s="202" t="n"/>
      <c r="GE40" s="202" t="n"/>
      <c r="GF40" s="202" t="n"/>
      <c r="GG40" s="202" t="n"/>
      <c r="GH40" s="202" t="n"/>
      <c r="GI40" s="202" t="n"/>
      <c r="GJ40" s="202" t="n"/>
      <c r="GK40" s="202" t="n"/>
      <c r="GL40" s="202" t="n"/>
      <c r="GM40" s="202" t="n"/>
      <c r="GN40" s="202" t="n"/>
      <c r="GO40" s="202" t="n"/>
      <c r="GP40" s="202" t="n"/>
      <c r="GQ40" s="202" t="n"/>
      <c r="GR40" s="202" t="n"/>
      <c r="GS40" s="202" t="n"/>
      <c r="GT40" s="202" t="n"/>
      <c r="GU40" s="202" t="n"/>
      <c r="GV40" s="202" t="n"/>
      <c r="GW40" s="202" t="n"/>
      <c r="GX40" s="202" t="n"/>
      <c r="GY40" s="202" t="n"/>
      <c r="GZ40" s="202" t="n"/>
      <c r="HA40" s="202" t="n"/>
      <c r="HB40" s="202" t="n"/>
      <c r="HC40" s="202" t="n"/>
      <c r="HD40" s="202" t="n"/>
      <c r="HE40" s="202" t="n"/>
      <c r="HF40" s="202" t="n"/>
      <c r="HG40" s="202" t="n"/>
      <c r="HH40" s="202" t="n"/>
      <c r="HI40" s="202" t="n"/>
      <c r="HJ40" s="202" t="n"/>
      <c r="HK40" s="202" t="n"/>
      <c r="HL40" s="202" t="n"/>
      <c r="HM40" s="202" t="n"/>
      <c r="HN40" s="202" t="n"/>
      <c r="HO40" s="202" t="n"/>
      <c r="HP40" s="202" t="n"/>
      <c r="HQ40" s="202" t="n"/>
      <c r="HR40" s="202" t="n"/>
      <c r="HS40" s="202" t="n"/>
      <c r="HT40" s="202" t="n"/>
      <c r="HU40" s="202" t="n"/>
      <c r="HV40" s="202" t="n"/>
      <c r="HW40" s="202" t="n"/>
      <c r="HX40" s="202" t="n"/>
      <c r="HY40" s="202" t="n"/>
      <c r="HZ40" s="202" t="n"/>
      <c r="IA40" s="202" t="n"/>
      <c r="IB40" s="202" t="n"/>
      <c r="IC40" s="202" t="n"/>
      <c r="ID40" s="202" t="n"/>
      <c r="IE40" s="202" t="n"/>
      <c r="IF40" s="202" t="n"/>
      <c r="IG40" s="202" t="n"/>
      <c r="IH40" s="202" t="n"/>
      <c r="II40" s="202" t="n"/>
      <c r="IJ40" s="202" t="n"/>
      <c r="IK40" s="202" t="n"/>
      <c r="IL40" s="202" t="n"/>
    </row>
    <row r="41" hidden="1" outlineLevel="1" ht="25" customFormat="1" customHeight="1" s="412">
      <c r="A41" s="239" t="inlineStr">
        <is>
          <t>3.4.6</t>
        </is>
      </c>
      <c r="B41" s="230" t="inlineStr">
        <is>
          <t>游泳池馆工程</t>
        </is>
      </c>
      <c r="C41" s="418" t="n"/>
      <c r="D41" s="232" t="inlineStr">
        <is>
          <t>m³</t>
        </is>
      </c>
      <c r="E41" s="419" t="n"/>
      <c r="F41" s="382">
        <f>C41/E41*10000</f>
        <v/>
      </c>
      <c r="G41" s="234" t="inlineStr">
        <is>
          <t>设计水体总容积</t>
        </is>
      </c>
      <c r="H41" s="232" t="inlineStr">
        <is>
          <t>专业工程指标</t>
        </is>
      </c>
      <c r="I41" s="202" t="n"/>
      <c r="J41" s="202" t="n"/>
      <c r="K41" s="202" t="n"/>
      <c r="L41" s="202" t="n"/>
      <c r="M41" s="202" t="n"/>
      <c r="N41" s="202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  <c r="AH41" s="202" t="n"/>
      <c r="AI41" s="202" t="n"/>
      <c r="AJ41" s="202" t="n"/>
      <c r="AK41" s="202" t="n"/>
      <c r="AL41" s="202" t="n"/>
      <c r="AM41" s="202" t="n"/>
      <c r="AN41" s="202" t="n"/>
      <c r="AO41" s="202" t="n"/>
      <c r="AP41" s="202" t="n"/>
      <c r="AQ41" s="202" t="n"/>
      <c r="AR41" s="202" t="n"/>
      <c r="AS41" s="202" t="n"/>
      <c r="AT41" s="202" t="n"/>
      <c r="AU41" s="202" t="n"/>
      <c r="AV41" s="202" t="n"/>
      <c r="AW41" s="202" t="n"/>
      <c r="AX41" s="202" t="n"/>
      <c r="AY41" s="202" t="n"/>
      <c r="AZ41" s="202" t="n"/>
      <c r="BA41" s="202" t="n"/>
      <c r="BB41" s="202" t="n"/>
      <c r="BC41" s="202" t="n"/>
      <c r="BD41" s="202" t="n"/>
      <c r="BE41" s="202" t="n"/>
      <c r="BF41" s="202" t="n"/>
      <c r="BG41" s="202" t="n"/>
      <c r="BH41" s="202" t="n"/>
      <c r="BI41" s="202" t="n"/>
      <c r="BJ41" s="202" t="n"/>
      <c r="BK41" s="202" t="n"/>
      <c r="BL41" s="202" t="n"/>
      <c r="BM41" s="202" t="n"/>
      <c r="BN41" s="202" t="n"/>
      <c r="BO41" s="202" t="n"/>
      <c r="BP41" s="202" t="n"/>
      <c r="BQ41" s="202" t="n"/>
      <c r="BR41" s="202" t="n"/>
      <c r="BS41" s="202" t="n"/>
      <c r="BT41" s="202" t="n"/>
      <c r="BU41" s="202" t="n"/>
      <c r="BV41" s="202" t="n"/>
      <c r="BW41" s="202" t="n"/>
      <c r="BX41" s="202" t="n"/>
      <c r="BY41" s="202" t="n"/>
      <c r="BZ41" s="202" t="n"/>
      <c r="CA41" s="202" t="n"/>
      <c r="CB41" s="202" t="n"/>
      <c r="CC41" s="202" t="n"/>
      <c r="CD41" s="202" t="n"/>
      <c r="CE41" s="202" t="n"/>
      <c r="CF41" s="202" t="n"/>
      <c r="CG41" s="202" t="n"/>
      <c r="CH41" s="202" t="n"/>
      <c r="CI41" s="202" t="n"/>
      <c r="CJ41" s="202" t="n"/>
      <c r="CK41" s="202" t="n"/>
      <c r="CL41" s="202" t="n"/>
      <c r="CM41" s="202" t="n"/>
      <c r="CN41" s="202" t="n"/>
      <c r="CO41" s="202" t="n"/>
      <c r="CP41" s="202" t="n"/>
      <c r="CQ41" s="202" t="n"/>
      <c r="CR41" s="202" t="n"/>
      <c r="CS41" s="202" t="n"/>
      <c r="CT41" s="202" t="n"/>
      <c r="CU41" s="202" t="n"/>
      <c r="CV41" s="202" t="n"/>
      <c r="CW41" s="202" t="n"/>
      <c r="CX41" s="202" t="n"/>
      <c r="CY41" s="202" t="n"/>
      <c r="CZ41" s="202" t="n"/>
      <c r="DA41" s="202" t="n"/>
      <c r="DB41" s="202" t="n"/>
      <c r="DC41" s="202" t="n"/>
      <c r="DD41" s="202" t="n"/>
      <c r="DE41" s="202" t="n"/>
      <c r="DF41" s="202" t="n"/>
      <c r="DG41" s="202" t="n"/>
      <c r="DH41" s="202" t="n"/>
      <c r="DI41" s="202" t="n"/>
      <c r="DJ41" s="202" t="n"/>
      <c r="DK41" s="202" t="n"/>
      <c r="DL41" s="202" t="n"/>
      <c r="DM41" s="202" t="n"/>
      <c r="DN41" s="202" t="n"/>
      <c r="DO41" s="202" t="n"/>
      <c r="DP41" s="202" t="n"/>
      <c r="DQ41" s="202" t="n"/>
      <c r="DR41" s="202" t="n"/>
      <c r="DS41" s="202" t="n"/>
      <c r="DT41" s="202" t="n"/>
      <c r="DU41" s="202" t="n"/>
      <c r="DV41" s="202" t="n"/>
      <c r="DW41" s="202" t="n"/>
      <c r="DX41" s="202" t="n"/>
      <c r="DY41" s="202" t="n"/>
      <c r="DZ41" s="202" t="n"/>
      <c r="EA41" s="202" t="n"/>
      <c r="EB41" s="202" t="n"/>
      <c r="EC41" s="202" t="n"/>
      <c r="ED41" s="202" t="n"/>
      <c r="EE41" s="202" t="n"/>
      <c r="EF41" s="202" t="n"/>
      <c r="EG41" s="202" t="n"/>
      <c r="EH41" s="202" t="n"/>
      <c r="EI41" s="202" t="n"/>
      <c r="EJ41" s="202" t="n"/>
      <c r="EK41" s="202" t="n"/>
      <c r="EL41" s="202" t="n"/>
      <c r="EM41" s="202" t="n"/>
      <c r="EN41" s="202" t="n"/>
      <c r="EO41" s="202" t="n"/>
      <c r="EP41" s="202" t="n"/>
      <c r="EQ41" s="202" t="n"/>
      <c r="ER41" s="202" t="n"/>
      <c r="ES41" s="202" t="n"/>
      <c r="ET41" s="202" t="n"/>
      <c r="EU41" s="202" t="n"/>
      <c r="EV41" s="202" t="n"/>
      <c r="EW41" s="202" t="n"/>
      <c r="EX41" s="202" t="n"/>
      <c r="EY41" s="202" t="n"/>
      <c r="EZ41" s="202" t="n"/>
      <c r="FA41" s="202" t="n"/>
      <c r="FB41" s="202" t="n"/>
      <c r="FC41" s="202" t="n"/>
      <c r="FD41" s="202" t="n"/>
      <c r="FE41" s="202" t="n"/>
      <c r="FF41" s="202" t="n"/>
      <c r="FG41" s="202" t="n"/>
      <c r="FH41" s="202" t="n"/>
      <c r="FI41" s="202" t="n"/>
      <c r="FJ41" s="202" t="n"/>
      <c r="FK41" s="202" t="n"/>
      <c r="FL41" s="202" t="n"/>
      <c r="FM41" s="202" t="n"/>
      <c r="FN41" s="202" t="n"/>
      <c r="FO41" s="202" t="n"/>
      <c r="FP41" s="202" t="n"/>
      <c r="FQ41" s="202" t="n"/>
      <c r="FR41" s="202" t="n"/>
      <c r="FS41" s="202" t="n"/>
      <c r="FT41" s="202" t="n"/>
      <c r="FU41" s="202" t="n"/>
      <c r="FV41" s="202" t="n"/>
      <c r="FW41" s="202" t="n"/>
      <c r="FX41" s="202" t="n"/>
      <c r="FY41" s="202" t="n"/>
      <c r="FZ41" s="202" t="n"/>
      <c r="GA41" s="202" t="n"/>
      <c r="GB41" s="202" t="n"/>
      <c r="GC41" s="202" t="n"/>
      <c r="GD41" s="202" t="n"/>
      <c r="GE41" s="202" t="n"/>
      <c r="GF41" s="202" t="n"/>
      <c r="GG41" s="202" t="n"/>
      <c r="GH41" s="202" t="n"/>
      <c r="GI41" s="202" t="n"/>
      <c r="GJ41" s="202" t="n"/>
      <c r="GK41" s="202" t="n"/>
      <c r="GL41" s="202" t="n"/>
      <c r="GM41" s="202" t="n"/>
      <c r="GN41" s="202" t="n"/>
      <c r="GO41" s="202" t="n"/>
      <c r="GP41" s="202" t="n"/>
      <c r="GQ41" s="202" t="n"/>
      <c r="GR41" s="202" t="n"/>
      <c r="GS41" s="202" t="n"/>
      <c r="GT41" s="202" t="n"/>
      <c r="GU41" s="202" t="n"/>
      <c r="GV41" s="202" t="n"/>
      <c r="GW41" s="202" t="n"/>
      <c r="GX41" s="202" t="n"/>
      <c r="GY41" s="202" t="n"/>
      <c r="GZ41" s="202" t="n"/>
      <c r="HA41" s="202" t="n"/>
      <c r="HB41" s="202" t="n"/>
      <c r="HC41" s="202" t="n"/>
      <c r="HD41" s="202" t="n"/>
      <c r="HE41" s="202" t="n"/>
      <c r="HF41" s="202" t="n"/>
      <c r="HG41" s="202" t="n"/>
      <c r="HH41" s="202" t="n"/>
      <c r="HI41" s="202" t="n"/>
      <c r="HJ41" s="202" t="n"/>
      <c r="HK41" s="202" t="n"/>
      <c r="HL41" s="202" t="n"/>
      <c r="HM41" s="202" t="n"/>
      <c r="HN41" s="202" t="n"/>
      <c r="HO41" s="202" t="n"/>
      <c r="HP41" s="202" t="n"/>
      <c r="HQ41" s="202" t="n"/>
      <c r="HR41" s="202" t="n"/>
      <c r="HS41" s="202" t="n"/>
      <c r="HT41" s="202" t="n"/>
      <c r="HU41" s="202" t="n"/>
      <c r="HV41" s="202" t="n"/>
      <c r="HW41" s="202" t="n"/>
      <c r="HX41" s="202" t="n"/>
      <c r="HY41" s="202" t="n"/>
      <c r="HZ41" s="202" t="n"/>
      <c r="IA41" s="202" t="n"/>
      <c r="IB41" s="202" t="n"/>
      <c r="IC41" s="202" t="n"/>
      <c r="ID41" s="202" t="n"/>
      <c r="IE41" s="202" t="n"/>
      <c r="IF41" s="202" t="n"/>
      <c r="IG41" s="202" t="n"/>
      <c r="IH41" s="202" t="n"/>
      <c r="II41" s="202" t="n"/>
      <c r="IJ41" s="202" t="n"/>
      <c r="IK41" s="202" t="n"/>
      <c r="IL41" s="202" t="n"/>
    </row>
    <row r="42" ht="25" customFormat="1" customHeight="1" s="412">
      <c r="A42" s="235" t="n">
        <v>3.5</v>
      </c>
      <c r="B42" s="236" t="inlineStr">
        <is>
          <t>工业专项工程</t>
        </is>
      </c>
      <c r="C42" s="237">
        <f>SUM(C43:C45)</f>
        <v/>
      </c>
      <c r="D42" s="238" t="inlineStr">
        <is>
          <t>㎡</t>
        </is>
      </c>
      <c r="E42" s="417" t="n"/>
      <c r="F42" s="417">
        <f>C42/E42*10000</f>
        <v/>
      </c>
      <c r="G42" s="228" t="inlineStr">
        <is>
          <t>区域建筑面积</t>
        </is>
      </c>
      <c r="H42" s="238" t="inlineStr">
        <is>
          <t>专业工程指标</t>
        </is>
      </c>
      <c r="I42" s="202" t="n"/>
      <c r="J42" s="202" t="n"/>
      <c r="K42" s="202" t="n"/>
      <c r="L42" s="202" t="n"/>
      <c r="M42" s="202" t="n"/>
      <c r="N42" s="202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  <c r="AH42" s="202" t="n"/>
      <c r="AI42" s="202" t="n"/>
      <c r="AJ42" s="202" t="n"/>
      <c r="AK42" s="202" t="n"/>
      <c r="AL42" s="202" t="n"/>
      <c r="AM42" s="202" t="n"/>
      <c r="AN42" s="202" t="n"/>
      <c r="AO42" s="202" t="n"/>
      <c r="AP42" s="202" t="n"/>
      <c r="AQ42" s="202" t="n"/>
      <c r="AR42" s="202" t="n"/>
      <c r="AS42" s="202" t="n"/>
      <c r="AT42" s="202" t="n"/>
      <c r="AU42" s="202" t="n"/>
      <c r="AV42" s="202" t="n"/>
      <c r="AW42" s="202" t="n"/>
      <c r="AX42" s="202" t="n"/>
      <c r="AY42" s="202" t="n"/>
      <c r="AZ42" s="202" t="n"/>
      <c r="BA42" s="202" t="n"/>
      <c r="BB42" s="202" t="n"/>
      <c r="BC42" s="202" t="n"/>
      <c r="BD42" s="202" t="n"/>
      <c r="BE42" s="202" t="n"/>
      <c r="BF42" s="202" t="n"/>
      <c r="BG42" s="202" t="n"/>
      <c r="BH42" s="202" t="n"/>
      <c r="BI42" s="202" t="n"/>
      <c r="BJ42" s="202" t="n"/>
      <c r="BK42" s="202" t="n"/>
      <c r="BL42" s="202" t="n"/>
      <c r="BM42" s="202" t="n"/>
      <c r="BN42" s="202" t="n"/>
      <c r="BO42" s="202" t="n"/>
      <c r="BP42" s="202" t="n"/>
      <c r="BQ42" s="202" t="n"/>
      <c r="BR42" s="202" t="n"/>
      <c r="BS42" s="202" t="n"/>
      <c r="BT42" s="202" t="n"/>
      <c r="BU42" s="202" t="n"/>
      <c r="BV42" s="202" t="n"/>
      <c r="BW42" s="202" t="n"/>
      <c r="BX42" s="202" t="n"/>
      <c r="BY42" s="202" t="n"/>
      <c r="BZ42" s="202" t="n"/>
      <c r="CA42" s="202" t="n"/>
      <c r="CB42" s="202" t="n"/>
      <c r="CC42" s="202" t="n"/>
      <c r="CD42" s="202" t="n"/>
      <c r="CE42" s="202" t="n"/>
      <c r="CF42" s="202" t="n"/>
      <c r="CG42" s="202" t="n"/>
      <c r="CH42" s="202" t="n"/>
      <c r="CI42" s="202" t="n"/>
      <c r="CJ42" s="202" t="n"/>
      <c r="CK42" s="202" t="n"/>
      <c r="CL42" s="202" t="n"/>
      <c r="CM42" s="202" t="n"/>
      <c r="CN42" s="202" t="n"/>
      <c r="CO42" s="202" t="n"/>
      <c r="CP42" s="202" t="n"/>
      <c r="CQ42" s="202" t="n"/>
      <c r="CR42" s="202" t="n"/>
      <c r="CS42" s="202" t="n"/>
      <c r="CT42" s="202" t="n"/>
      <c r="CU42" s="202" t="n"/>
      <c r="CV42" s="202" t="n"/>
      <c r="CW42" s="202" t="n"/>
      <c r="CX42" s="202" t="n"/>
      <c r="CY42" s="202" t="n"/>
      <c r="CZ42" s="202" t="n"/>
      <c r="DA42" s="202" t="n"/>
      <c r="DB42" s="202" t="n"/>
      <c r="DC42" s="202" t="n"/>
      <c r="DD42" s="202" t="n"/>
      <c r="DE42" s="202" t="n"/>
      <c r="DF42" s="202" t="n"/>
      <c r="DG42" s="202" t="n"/>
      <c r="DH42" s="202" t="n"/>
      <c r="DI42" s="202" t="n"/>
      <c r="DJ42" s="202" t="n"/>
      <c r="DK42" s="202" t="n"/>
      <c r="DL42" s="202" t="n"/>
      <c r="DM42" s="202" t="n"/>
      <c r="DN42" s="202" t="n"/>
      <c r="DO42" s="202" t="n"/>
      <c r="DP42" s="202" t="n"/>
      <c r="DQ42" s="202" t="n"/>
      <c r="DR42" s="202" t="n"/>
      <c r="DS42" s="202" t="n"/>
      <c r="DT42" s="202" t="n"/>
      <c r="DU42" s="202" t="n"/>
      <c r="DV42" s="202" t="n"/>
      <c r="DW42" s="202" t="n"/>
      <c r="DX42" s="202" t="n"/>
      <c r="DY42" s="202" t="n"/>
      <c r="DZ42" s="202" t="n"/>
      <c r="EA42" s="202" t="n"/>
      <c r="EB42" s="202" t="n"/>
      <c r="EC42" s="202" t="n"/>
      <c r="ED42" s="202" t="n"/>
      <c r="EE42" s="202" t="n"/>
      <c r="EF42" s="202" t="n"/>
      <c r="EG42" s="202" t="n"/>
      <c r="EH42" s="202" t="n"/>
      <c r="EI42" s="202" t="n"/>
      <c r="EJ42" s="202" t="n"/>
      <c r="EK42" s="202" t="n"/>
      <c r="EL42" s="202" t="n"/>
      <c r="EM42" s="202" t="n"/>
      <c r="EN42" s="202" t="n"/>
      <c r="EO42" s="202" t="n"/>
      <c r="EP42" s="202" t="n"/>
      <c r="EQ42" s="202" t="n"/>
      <c r="ER42" s="202" t="n"/>
      <c r="ES42" s="202" t="n"/>
      <c r="ET42" s="202" t="n"/>
      <c r="EU42" s="202" t="n"/>
      <c r="EV42" s="202" t="n"/>
      <c r="EW42" s="202" t="n"/>
      <c r="EX42" s="202" t="n"/>
      <c r="EY42" s="202" t="n"/>
      <c r="EZ42" s="202" t="n"/>
      <c r="FA42" s="202" t="n"/>
      <c r="FB42" s="202" t="n"/>
      <c r="FC42" s="202" t="n"/>
      <c r="FD42" s="202" t="n"/>
      <c r="FE42" s="202" t="n"/>
      <c r="FF42" s="202" t="n"/>
      <c r="FG42" s="202" t="n"/>
      <c r="FH42" s="202" t="n"/>
      <c r="FI42" s="202" t="n"/>
      <c r="FJ42" s="202" t="n"/>
      <c r="FK42" s="202" t="n"/>
      <c r="FL42" s="202" t="n"/>
      <c r="FM42" s="202" t="n"/>
      <c r="FN42" s="202" t="n"/>
      <c r="FO42" s="202" t="n"/>
      <c r="FP42" s="202" t="n"/>
      <c r="FQ42" s="202" t="n"/>
      <c r="FR42" s="202" t="n"/>
      <c r="FS42" s="202" t="n"/>
      <c r="FT42" s="202" t="n"/>
      <c r="FU42" s="202" t="n"/>
      <c r="FV42" s="202" t="n"/>
      <c r="FW42" s="202" t="n"/>
      <c r="FX42" s="202" t="n"/>
      <c r="FY42" s="202" t="n"/>
      <c r="FZ42" s="202" t="n"/>
      <c r="GA42" s="202" t="n"/>
      <c r="GB42" s="202" t="n"/>
      <c r="GC42" s="202" t="n"/>
      <c r="GD42" s="202" t="n"/>
      <c r="GE42" s="202" t="n"/>
      <c r="GF42" s="202" t="n"/>
      <c r="GG42" s="202" t="n"/>
      <c r="GH42" s="202" t="n"/>
      <c r="GI42" s="202" t="n"/>
      <c r="GJ42" s="202" t="n"/>
      <c r="GK42" s="202" t="n"/>
      <c r="GL42" s="202" t="n"/>
      <c r="GM42" s="202" t="n"/>
      <c r="GN42" s="202" t="n"/>
      <c r="GO42" s="202" t="n"/>
      <c r="GP42" s="202" t="n"/>
      <c r="GQ42" s="202" t="n"/>
      <c r="GR42" s="202" t="n"/>
      <c r="GS42" s="202" t="n"/>
      <c r="GT42" s="202" t="n"/>
      <c r="GU42" s="202" t="n"/>
      <c r="GV42" s="202" t="n"/>
      <c r="GW42" s="202" t="n"/>
      <c r="GX42" s="202" t="n"/>
      <c r="GY42" s="202" t="n"/>
      <c r="GZ42" s="202" t="n"/>
      <c r="HA42" s="202" t="n"/>
      <c r="HB42" s="202" t="n"/>
      <c r="HC42" s="202" t="n"/>
      <c r="HD42" s="202" t="n"/>
      <c r="HE42" s="202" t="n"/>
      <c r="HF42" s="202" t="n"/>
      <c r="HG42" s="202" t="n"/>
      <c r="HH42" s="202" t="n"/>
      <c r="HI42" s="202" t="n"/>
      <c r="HJ42" s="202" t="n"/>
      <c r="HK42" s="202" t="n"/>
      <c r="HL42" s="202" t="n"/>
      <c r="HM42" s="202" t="n"/>
      <c r="HN42" s="202" t="n"/>
      <c r="HO42" s="202" t="n"/>
      <c r="HP42" s="202" t="n"/>
      <c r="HQ42" s="202" t="n"/>
      <c r="HR42" s="202" t="n"/>
      <c r="HS42" s="202" t="n"/>
      <c r="HT42" s="202" t="n"/>
      <c r="HU42" s="202" t="n"/>
      <c r="HV42" s="202" t="n"/>
      <c r="HW42" s="202" t="n"/>
      <c r="HX42" s="202" t="n"/>
      <c r="HY42" s="202" t="n"/>
      <c r="HZ42" s="202" t="n"/>
      <c r="IA42" s="202" t="n"/>
      <c r="IB42" s="202" t="n"/>
      <c r="IC42" s="202" t="n"/>
      <c r="ID42" s="202" t="n"/>
      <c r="IE42" s="202" t="n"/>
      <c r="IF42" s="202" t="n"/>
      <c r="IG42" s="202" t="n"/>
      <c r="IH42" s="202" t="n"/>
      <c r="II42" s="202" t="n"/>
      <c r="IJ42" s="202" t="n"/>
      <c r="IK42" s="202" t="n"/>
      <c r="IL42" s="202" t="n"/>
    </row>
    <row r="43" outlineLevel="1" ht="25" customFormat="1" customHeight="1" s="412">
      <c r="A43" s="239" t="inlineStr">
        <is>
          <t>3.5.1</t>
        </is>
      </c>
      <c r="B43" s="230" t="inlineStr">
        <is>
          <t>洁净车间工程</t>
        </is>
      </c>
      <c r="C43" s="420" t="n"/>
      <c r="D43" s="232" t="inlineStr">
        <is>
          <t>㎡</t>
        </is>
      </c>
      <c r="E43" s="419" t="n"/>
      <c r="F43" s="382">
        <f>C43/E43*10000</f>
        <v/>
      </c>
      <c r="G43" s="234" t="inlineStr">
        <is>
          <t>区域建筑面积</t>
        </is>
      </c>
      <c r="H43" s="232" t="inlineStr">
        <is>
          <t>专业工程指标</t>
        </is>
      </c>
      <c r="I43" s="202" t="n"/>
      <c r="J43" s="202" t="n"/>
      <c r="K43" s="202" t="n"/>
      <c r="L43" s="202" t="n"/>
      <c r="M43" s="202" t="n"/>
      <c r="N43" s="202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  <c r="AH43" s="202" t="n"/>
      <c r="AI43" s="202" t="n"/>
      <c r="AJ43" s="202" t="n"/>
      <c r="AK43" s="202" t="n"/>
      <c r="AL43" s="202" t="n"/>
      <c r="AM43" s="202" t="n"/>
      <c r="AN43" s="202" t="n"/>
      <c r="AO43" s="202" t="n"/>
      <c r="AP43" s="202" t="n"/>
      <c r="AQ43" s="202" t="n"/>
      <c r="AR43" s="202" t="n"/>
      <c r="AS43" s="202" t="n"/>
      <c r="AT43" s="202" t="n"/>
      <c r="AU43" s="202" t="n"/>
      <c r="AV43" s="202" t="n"/>
      <c r="AW43" s="202" t="n"/>
      <c r="AX43" s="202" t="n"/>
      <c r="AY43" s="202" t="n"/>
      <c r="AZ43" s="202" t="n"/>
      <c r="BA43" s="202" t="n"/>
      <c r="BB43" s="202" t="n"/>
      <c r="BC43" s="202" t="n"/>
      <c r="BD43" s="202" t="n"/>
      <c r="BE43" s="202" t="n"/>
      <c r="BF43" s="202" t="n"/>
      <c r="BG43" s="202" t="n"/>
      <c r="BH43" s="202" t="n"/>
      <c r="BI43" s="202" t="n"/>
      <c r="BJ43" s="202" t="n"/>
      <c r="BK43" s="202" t="n"/>
      <c r="BL43" s="202" t="n"/>
      <c r="BM43" s="202" t="n"/>
      <c r="BN43" s="202" t="n"/>
      <c r="BO43" s="202" t="n"/>
      <c r="BP43" s="202" t="n"/>
      <c r="BQ43" s="202" t="n"/>
      <c r="BR43" s="202" t="n"/>
      <c r="BS43" s="202" t="n"/>
      <c r="BT43" s="202" t="n"/>
      <c r="BU43" s="202" t="n"/>
      <c r="BV43" s="202" t="n"/>
      <c r="BW43" s="202" t="n"/>
      <c r="BX43" s="202" t="n"/>
      <c r="BY43" s="202" t="n"/>
      <c r="BZ43" s="202" t="n"/>
      <c r="CA43" s="202" t="n"/>
      <c r="CB43" s="202" t="n"/>
      <c r="CC43" s="202" t="n"/>
      <c r="CD43" s="202" t="n"/>
      <c r="CE43" s="202" t="n"/>
      <c r="CF43" s="202" t="n"/>
      <c r="CG43" s="202" t="n"/>
      <c r="CH43" s="202" t="n"/>
      <c r="CI43" s="202" t="n"/>
      <c r="CJ43" s="202" t="n"/>
      <c r="CK43" s="202" t="n"/>
      <c r="CL43" s="202" t="n"/>
      <c r="CM43" s="202" t="n"/>
      <c r="CN43" s="202" t="n"/>
      <c r="CO43" s="202" t="n"/>
      <c r="CP43" s="202" t="n"/>
      <c r="CQ43" s="202" t="n"/>
      <c r="CR43" s="202" t="n"/>
      <c r="CS43" s="202" t="n"/>
      <c r="CT43" s="202" t="n"/>
      <c r="CU43" s="202" t="n"/>
      <c r="CV43" s="202" t="n"/>
      <c r="CW43" s="202" t="n"/>
      <c r="CX43" s="202" t="n"/>
      <c r="CY43" s="202" t="n"/>
      <c r="CZ43" s="202" t="n"/>
      <c r="DA43" s="202" t="n"/>
      <c r="DB43" s="202" t="n"/>
      <c r="DC43" s="202" t="n"/>
      <c r="DD43" s="202" t="n"/>
      <c r="DE43" s="202" t="n"/>
      <c r="DF43" s="202" t="n"/>
      <c r="DG43" s="202" t="n"/>
      <c r="DH43" s="202" t="n"/>
      <c r="DI43" s="202" t="n"/>
      <c r="DJ43" s="202" t="n"/>
      <c r="DK43" s="202" t="n"/>
      <c r="DL43" s="202" t="n"/>
      <c r="DM43" s="202" t="n"/>
      <c r="DN43" s="202" t="n"/>
      <c r="DO43" s="202" t="n"/>
      <c r="DP43" s="202" t="n"/>
      <c r="DQ43" s="202" t="n"/>
      <c r="DR43" s="202" t="n"/>
      <c r="DS43" s="202" t="n"/>
      <c r="DT43" s="202" t="n"/>
      <c r="DU43" s="202" t="n"/>
      <c r="DV43" s="202" t="n"/>
      <c r="DW43" s="202" t="n"/>
      <c r="DX43" s="202" t="n"/>
      <c r="DY43" s="202" t="n"/>
      <c r="DZ43" s="202" t="n"/>
      <c r="EA43" s="202" t="n"/>
      <c r="EB43" s="202" t="n"/>
      <c r="EC43" s="202" t="n"/>
      <c r="ED43" s="202" t="n"/>
      <c r="EE43" s="202" t="n"/>
      <c r="EF43" s="202" t="n"/>
      <c r="EG43" s="202" t="n"/>
      <c r="EH43" s="202" t="n"/>
      <c r="EI43" s="202" t="n"/>
      <c r="EJ43" s="202" t="n"/>
      <c r="EK43" s="202" t="n"/>
      <c r="EL43" s="202" t="n"/>
      <c r="EM43" s="202" t="n"/>
      <c r="EN43" s="202" t="n"/>
      <c r="EO43" s="202" t="n"/>
      <c r="EP43" s="202" t="n"/>
      <c r="EQ43" s="202" t="n"/>
      <c r="ER43" s="202" t="n"/>
      <c r="ES43" s="202" t="n"/>
      <c r="ET43" s="202" t="n"/>
      <c r="EU43" s="202" t="n"/>
      <c r="EV43" s="202" t="n"/>
      <c r="EW43" s="202" t="n"/>
      <c r="EX43" s="202" t="n"/>
      <c r="EY43" s="202" t="n"/>
      <c r="EZ43" s="202" t="n"/>
      <c r="FA43" s="202" t="n"/>
      <c r="FB43" s="202" t="n"/>
      <c r="FC43" s="202" t="n"/>
      <c r="FD43" s="202" t="n"/>
      <c r="FE43" s="202" t="n"/>
      <c r="FF43" s="202" t="n"/>
      <c r="FG43" s="202" t="n"/>
      <c r="FH43" s="202" t="n"/>
      <c r="FI43" s="202" t="n"/>
      <c r="FJ43" s="202" t="n"/>
      <c r="FK43" s="202" t="n"/>
      <c r="FL43" s="202" t="n"/>
      <c r="FM43" s="202" t="n"/>
      <c r="FN43" s="202" t="n"/>
      <c r="FO43" s="202" t="n"/>
      <c r="FP43" s="202" t="n"/>
      <c r="FQ43" s="202" t="n"/>
      <c r="FR43" s="202" t="n"/>
      <c r="FS43" s="202" t="n"/>
      <c r="FT43" s="202" t="n"/>
      <c r="FU43" s="202" t="n"/>
      <c r="FV43" s="202" t="n"/>
      <c r="FW43" s="202" t="n"/>
      <c r="FX43" s="202" t="n"/>
      <c r="FY43" s="202" t="n"/>
      <c r="FZ43" s="202" t="n"/>
      <c r="GA43" s="202" t="n"/>
      <c r="GB43" s="202" t="n"/>
      <c r="GC43" s="202" t="n"/>
      <c r="GD43" s="202" t="n"/>
      <c r="GE43" s="202" t="n"/>
      <c r="GF43" s="202" t="n"/>
      <c r="GG43" s="202" t="n"/>
      <c r="GH43" s="202" t="n"/>
      <c r="GI43" s="202" t="n"/>
      <c r="GJ43" s="202" t="n"/>
      <c r="GK43" s="202" t="n"/>
      <c r="GL43" s="202" t="n"/>
      <c r="GM43" s="202" t="n"/>
      <c r="GN43" s="202" t="n"/>
      <c r="GO43" s="202" t="n"/>
      <c r="GP43" s="202" t="n"/>
      <c r="GQ43" s="202" t="n"/>
      <c r="GR43" s="202" t="n"/>
      <c r="GS43" s="202" t="n"/>
      <c r="GT43" s="202" t="n"/>
      <c r="GU43" s="202" t="n"/>
      <c r="GV43" s="202" t="n"/>
      <c r="GW43" s="202" t="n"/>
      <c r="GX43" s="202" t="n"/>
      <c r="GY43" s="202" t="n"/>
      <c r="GZ43" s="202" t="n"/>
      <c r="HA43" s="202" t="n"/>
      <c r="HB43" s="202" t="n"/>
      <c r="HC43" s="202" t="n"/>
      <c r="HD43" s="202" t="n"/>
      <c r="HE43" s="202" t="n"/>
      <c r="HF43" s="202" t="n"/>
      <c r="HG43" s="202" t="n"/>
      <c r="HH43" s="202" t="n"/>
      <c r="HI43" s="202" t="n"/>
      <c r="HJ43" s="202" t="n"/>
      <c r="HK43" s="202" t="n"/>
      <c r="HL43" s="202" t="n"/>
      <c r="HM43" s="202" t="n"/>
      <c r="HN43" s="202" t="n"/>
      <c r="HO43" s="202" t="n"/>
      <c r="HP43" s="202" t="n"/>
      <c r="HQ43" s="202" t="n"/>
      <c r="HR43" s="202" t="n"/>
      <c r="HS43" s="202" t="n"/>
      <c r="HT43" s="202" t="n"/>
      <c r="HU43" s="202" t="n"/>
      <c r="HV43" s="202" t="n"/>
      <c r="HW43" s="202" t="n"/>
      <c r="HX43" s="202" t="n"/>
      <c r="HY43" s="202" t="n"/>
      <c r="HZ43" s="202" t="n"/>
      <c r="IA43" s="202" t="n"/>
      <c r="IB43" s="202" t="n"/>
      <c r="IC43" s="202" t="n"/>
      <c r="ID43" s="202" t="n"/>
      <c r="IE43" s="202" t="n"/>
      <c r="IF43" s="202" t="n"/>
      <c r="IG43" s="202" t="n"/>
      <c r="IH43" s="202" t="n"/>
      <c r="II43" s="202" t="n"/>
      <c r="IJ43" s="202" t="n"/>
      <c r="IK43" s="202" t="n"/>
      <c r="IL43" s="202" t="n"/>
    </row>
    <row r="44" outlineLevel="1" ht="25" customFormat="1" customHeight="1" s="412">
      <c r="A44" s="239" t="inlineStr">
        <is>
          <t>3.5.2</t>
        </is>
      </c>
      <c r="B44" s="230" t="inlineStr">
        <is>
          <t>工业管道工程</t>
        </is>
      </c>
      <c r="C44" s="420" t="n"/>
      <c r="D44" s="232" t="inlineStr">
        <is>
          <t>㎡</t>
        </is>
      </c>
      <c r="E44" s="419" t="n"/>
      <c r="F44" s="382">
        <f>C44/E44*10000</f>
        <v/>
      </c>
      <c r="G44" s="234" t="inlineStr">
        <is>
          <t>区域建筑面积</t>
        </is>
      </c>
      <c r="H44" s="232" t="inlineStr">
        <is>
          <t>专业工程指标</t>
        </is>
      </c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  <c r="AH44" s="202" t="n"/>
      <c r="AI44" s="202" t="n"/>
      <c r="AJ44" s="202" t="n"/>
      <c r="AK44" s="202" t="n"/>
      <c r="AL44" s="202" t="n"/>
      <c r="AM44" s="202" t="n"/>
      <c r="AN44" s="202" t="n"/>
      <c r="AO44" s="202" t="n"/>
      <c r="AP44" s="202" t="n"/>
      <c r="AQ44" s="202" t="n"/>
      <c r="AR44" s="202" t="n"/>
      <c r="AS44" s="202" t="n"/>
      <c r="AT44" s="202" t="n"/>
      <c r="AU44" s="202" t="n"/>
      <c r="AV44" s="202" t="n"/>
      <c r="AW44" s="202" t="n"/>
      <c r="AX44" s="202" t="n"/>
      <c r="AY44" s="202" t="n"/>
      <c r="AZ44" s="202" t="n"/>
      <c r="BA44" s="202" t="n"/>
      <c r="BB44" s="202" t="n"/>
      <c r="BC44" s="202" t="n"/>
      <c r="BD44" s="202" t="n"/>
      <c r="BE44" s="202" t="n"/>
      <c r="BF44" s="202" t="n"/>
      <c r="BG44" s="202" t="n"/>
      <c r="BH44" s="202" t="n"/>
      <c r="BI44" s="202" t="n"/>
      <c r="BJ44" s="202" t="n"/>
      <c r="BK44" s="202" t="n"/>
      <c r="BL44" s="202" t="n"/>
      <c r="BM44" s="202" t="n"/>
      <c r="BN44" s="202" t="n"/>
      <c r="BO44" s="202" t="n"/>
      <c r="BP44" s="202" t="n"/>
      <c r="BQ44" s="202" t="n"/>
      <c r="BR44" s="202" t="n"/>
      <c r="BS44" s="202" t="n"/>
      <c r="BT44" s="202" t="n"/>
      <c r="BU44" s="202" t="n"/>
      <c r="BV44" s="202" t="n"/>
      <c r="BW44" s="202" t="n"/>
      <c r="BX44" s="202" t="n"/>
      <c r="BY44" s="202" t="n"/>
      <c r="BZ44" s="202" t="n"/>
      <c r="CA44" s="202" t="n"/>
      <c r="CB44" s="202" t="n"/>
      <c r="CC44" s="202" t="n"/>
      <c r="CD44" s="202" t="n"/>
      <c r="CE44" s="202" t="n"/>
      <c r="CF44" s="202" t="n"/>
      <c r="CG44" s="202" t="n"/>
      <c r="CH44" s="202" t="n"/>
      <c r="CI44" s="202" t="n"/>
      <c r="CJ44" s="202" t="n"/>
      <c r="CK44" s="202" t="n"/>
      <c r="CL44" s="202" t="n"/>
      <c r="CM44" s="202" t="n"/>
      <c r="CN44" s="202" t="n"/>
      <c r="CO44" s="202" t="n"/>
      <c r="CP44" s="202" t="n"/>
      <c r="CQ44" s="202" t="n"/>
      <c r="CR44" s="202" t="n"/>
      <c r="CS44" s="202" t="n"/>
      <c r="CT44" s="202" t="n"/>
      <c r="CU44" s="202" t="n"/>
      <c r="CV44" s="202" t="n"/>
      <c r="CW44" s="202" t="n"/>
      <c r="CX44" s="202" t="n"/>
      <c r="CY44" s="202" t="n"/>
      <c r="CZ44" s="202" t="n"/>
      <c r="DA44" s="202" t="n"/>
      <c r="DB44" s="202" t="n"/>
      <c r="DC44" s="202" t="n"/>
      <c r="DD44" s="202" t="n"/>
      <c r="DE44" s="202" t="n"/>
      <c r="DF44" s="202" t="n"/>
      <c r="DG44" s="202" t="n"/>
      <c r="DH44" s="202" t="n"/>
      <c r="DI44" s="202" t="n"/>
      <c r="DJ44" s="202" t="n"/>
      <c r="DK44" s="202" t="n"/>
      <c r="DL44" s="202" t="n"/>
      <c r="DM44" s="202" t="n"/>
      <c r="DN44" s="202" t="n"/>
      <c r="DO44" s="202" t="n"/>
      <c r="DP44" s="202" t="n"/>
      <c r="DQ44" s="202" t="n"/>
      <c r="DR44" s="202" t="n"/>
      <c r="DS44" s="202" t="n"/>
      <c r="DT44" s="202" t="n"/>
      <c r="DU44" s="202" t="n"/>
      <c r="DV44" s="202" t="n"/>
      <c r="DW44" s="202" t="n"/>
      <c r="DX44" s="202" t="n"/>
      <c r="DY44" s="202" t="n"/>
      <c r="DZ44" s="202" t="n"/>
      <c r="EA44" s="202" t="n"/>
      <c r="EB44" s="202" t="n"/>
      <c r="EC44" s="202" t="n"/>
      <c r="ED44" s="202" t="n"/>
      <c r="EE44" s="202" t="n"/>
      <c r="EF44" s="202" t="n"/>
      <c r="EG44" s="202" t="n"/>
      <c r="EH44" s="202" t="n"/>
      <c r="EI44" s="202" t="n"/>
      <c r="EJ44" s="202" t="n"/>
      <c r="EK44" s="202" t="n"/>
      <c r="EL44" s="202" t="n"/>
      <c r="EM44" s="202" t="n"/>
      <c r="EN44" s="202" t="n"/>
      <c r="EO44" s="202" t="n"/>
      <c r="EP44" s="202" t="n"/>
      <c r="EQ44" s="202" t="n"/>
      <c r="ER44" s="202" t="n"/>
      <c r="ES44" s="202" t="n"/>
      <c r="ET44" s="202" t="n"/>
      <c r="EU44" s="202" t="n"/>
      <c r="EV44" s="202" t="n"/>
      <c r="EW44" s="202" t="n"/>
      <c r="EX44" s="202" t="n"/>
      <c r="EY44" s="202" t="n"/>
      <c r="EZ44" s="202" t="n"/>
      <c r="FA44" s="202" t="n"/>
      <c r="FB44" s="202" t="n"/>
      <c r="FC44" s="202" t="n"/>
      <c r="FD44" s="202" t="n"/>
      <c r="FE44" s="202" t="n"/>
      <c r="FF44" s="202" t="n"/>
      <c r="FG44" s="202" t="n"/>
      <c r="FH44" s="202" t="n"/>
      <c r="FI44" s="202" t="n"/>
      <c r="FJ44" s="202" t="n"/>
      <c r="FK44" s="202" t="n"/>
      <c r="FL44" s="202" t="n"/>
      <c r="FM44" s="202" t="n"/>
      <c r="FN44" s="202" t="n"/>
      <c r="FO44" s="202" t="n"/>
      <c r="FP44" s="202" t="n"/>
      <c r="FQ44" s="202" t="n"/>
      <c r="FR44" s="202" t="n"/>
      <c r="FS44" s="202" t="n"/>
      <c r="FT44" s="202" t="n"/>
      <c r="FU44" s="202" t="n"/>
      <c r="FV44" s="202" t="n"/>
      <c r="FW44" s="202" t="n"/>
      <c r="FX44" s="202" t="n"/>
      <c r="FY44" s="202" t="n"/>
      <c r="FZ44" s="202" t="n"/>
      <c r="GA44" s="202" t="n"/>
      <c r="GB44" s="202" t="n"/>
      <c r="GC44" s="202" t="n"/>
      <c r="GD44" s="202" t="n"/>
      <c r="GE44" s="202" t="n"/>
      <c r="GF44" s="202" t="n"/>
      <c r="GG44" s="202" t="n"/>
      <c r="GH44" s="202" t="n"/>
      <c r="GI44" s="202" t="n"/>
      <c r="GJ44" s="202" t="n"/>
      <c r="GK44" s="202" t="n"/>
      <c r="GL44" s="202" t="n"/>
      <c r="GM44" s="202" t="n"/>
      <c r="GN44" s="202" t="n"/>
      <c r="GO44" s="202" t="n"/>
      <c r="GP44" s="202" t="n"/>
      <c r="GQ44" s="202" t="n"/>
      <c r="GR44" s="202" t="n"/>
      <c r="GS44" s="202" t="n"/>
      <c r="GT44" s="202" t="n"/>
      <c r="GU44" s="202" t="n"/>
      <c r="GV44" s="202" t="n"/>
      <c r="GW44" s="202" t="n"/>
      <c r="GX44" s="202" t="n"/>
      <c r="GY44" s="202" t="n"/>
      <c r="GZ44" s="202" t="n"/>
      <c r="HA44" s="202" t="n"/>
      <c r="HB44" s="202" t="n"/>
      <c r="HC44" s="202" t="n"/>
      <c r="HD44" s="202" t="n"/>
      <c r="HE44" s="202" t="n"/>
      <c r="HF44" s="202" t="n"/>
      <c r="HG44" s="202" t="n"/>
      <c r="HH44" s="202" t="n"/>
      <c r="HI44" s="202" t="n"/>
      <c r="HJ44" s="202" t="n"/>
      <c r="HK44" s="202" t="n"/>
      <c r="HL44" s="202" t="n"/>
      <c r="HM44" s="202" t="n"/>
      <c r="HN44" s="202" t="n"/>
      <c r="HO44" s="202" t="n"/>
      <c r="HP44" s="202" t="n"/>
      <c r="HQ44" s="202" t="n"/>
      <c r="HR44" s="202" t="n"/>
      <c r="HS44" s="202" t="n"/>
      <c r="HT44" s="202" t="n"/>
      <c r="HU44" s="202" t="n"/>
      <c r="HV44" s="202" t="n"/>
      <c r="HW44" s="202" t="n"/>
      <c r="HX44" s="202" t="n"/>
      <c r="HY44" s="202" t="n"/>
      <c r="HZ44" s="202" t="n"/>
      <c r="IA44" s="202" t="n"/>
      <c r="IB44" s="202" t="n"/>
      <c r="IC44" s="202" t="n"/>
      <c r="ID44" s="202" t="n"/>
      <c r="IE44" s="202" t="n"/>
      <c r="IF44" s="202" t="n"/>
      <c r="IG44" s="202" t="n"/>
      <c r="IH44" s="202" t="n"/>
      <c r="II44" s="202" t="n"/>
      <c r="IJ44" s="202" t="n"/>
      <c r="IK44" s="202" t="n"/>
      <c r="IL44" s="202" t="n"/>
    </row>
    <row r="45" outlineLevel="1" ht="25" customFormat="1" customHeight="1" s="412">
      <c r="A45" s="239" t="inlineStr">
        <is>
          <t>3.5.3</t>
        </is>
      </c>
      <c r="B45" s="230" t="inlineStr">
        <is>
          <t>环保动力系统工程</t>
        </is>
      </c>
      <c r="C45" s="420" t="n"/>
      <c r="D45" s="232" t="inlineStr">
        <is>
          <t>kW</t>
        </is>
      </c>
      <c r="E45" s="419" t="n"/>
      <c r="F45" s="382">
        <f>C45/E45*10000</f>
        <v/>
      </c>
      <c r="G45" s="234" t="inlineStr">
        <is>
          <t>额定总装机功率</t>
        </is>
      </c>
      <c r="H45" s="232" t="inlineStr">
        <is>
          <t>专业工程指标</t>
        </is>
      </c>
      <c r="I45" s="202" t="n"/>
      <c r="J45" s="202" t="n"/>
      <c r="K45" s="202" t="n"/>
      <c r="L45" s="202" t="n"/>
      <c r="M45" s="202" t="n"/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  <c r="AH45" s="202" t="n"/>
      <c r="AI45" s="202" t="n"/>
      <c r="AJ45" s="202" t="n"/>
      <c r="AK45" s="202" t="n"/>
      <c r="AL45" s="202" t="n"/>
      <c r="AM45" s="202" t="n"/>
      <c r="AN45" s="202" t="n"/>
      <c r="AO45" s="202" t="n"/>
      <c r="AP45" s="202" t="n"/>
      <c r="AQ45" s="202" t="n"/>
      <c r="AR45" s="202" t="n"/>
      <c r="AS45" s="202" t="n"/>
      <c r="AT45" s="202" t="n"/>
      <c r="AU45" s="202" t="n"/>
      <c r="AV45" s="202" t="n"/>
      <c r="AW45" s="202" t="n"/>
      <c r="AX45" s="202" t="n"/>
      <c r="AY45" s="202" t="n"/>
      <c r="AZ45" s="202" t="n"/>
      <c r="BA45" s="202" t="n"/>
      <c r="BB45" s="202" t="n"/>
      <c r="BC45" s="202" t="n"/>
      <c r="BD45" s="202" t="n"/>
      <c r="BE45" s="202" t="n"/>
      <c r="BF45" s="202" t="n"/>
      <c r="BG45" s="202" t="n"/>
      <c r="BH45" s="202" t="n"/>
      <c r="BI45" s="202" t="n"/>
      <c r="BJ45" s="202" t="n"/>
      <c r="BK45" s="202" t="n"/>
      <c r="BL45" s="202" t="n"/>
      <c r="BM45" s="202" t="n"/>
      <c r="BN45" s="202" t="n"/>
      <c r="BO45" s="202" t="n"/>
      <c r="BP45" s="202" t="n"/>
      <c r="BQ45" s="202" t="n"/>
      <c r="BR45" s="202" t="n"/>
      <c r="BS45" s="202" t="n"/>
      <c r="BT45" s="202" t="n"/>
      <c r="BU45" s="202" t="n"/>
      <c r="BV45" s="202" t="n"/>
      <c r="BW45" s="202" t="n"/>
      <c r="BX45" s="202" t="n"/>
      <c r="BY45" s="202" t="n"/>
      <c r="BZ45" s="202" t="n"/>
      <c r="CA45" s="202" t="n"/>
      <c r="CB45" s="202" t="n"/>
      <c r="CC45" s="202" t="n"/>
      <c r="CD45" s="202" t="n"/>
      <c r="CE45" s="202" t="n"/>
      <c r="CF45" s="202" t="n"/>
      <c r="CG45" s="202" t="n"/>
      <c r="CH45" s="202" t="n"/>
      <c r="CI45" s="202" t="n"/>
      <c r="CJ45" s="202" t="n"/>
      <c r="CK45" s="202" t="n"/>
      <c r="CL45" s="202" t="n"/>
      <c r="CM45" s="202" t="n"/>
      <c r="CN45" s="202" t="n"/>
      <c r="CO45" s="202" t="n"/>
      <c r="CP45" s="202" t="n"/>
      <c r="CQ45" s="202" t="n"/>
      <c r="CR45" s="202" t="n"/>
      <c r="CS45" s="202" t="n"/>
      <c r="CT45" s="202" t="n"/>
      <c r="CU45" s="202" t="n"/>
      <c r="CV45" s="202" t="n"/>
      <c r="CW45" s="202" t="n"/>
      <c r="CX45" s="202" t="n"/>
      <c r="CY45" s="202" t="n"/>
      <c r="CZ45" s="202" t="n"/>
      <c r="DA45" s="202" t="n"/>
      <c r="DB45" s="202" t="n"/>
      <c r="DC45" s="202" t="n"/>
      <c r="DD45" s="202" t="n"/>
      <c r="DE45" s="202" t="n"/>
      <c r="DF45" s="202" t="n"/>
      <c r="DG45" s="202" t="n"/>
      <c r="DH45" s="202" t="n"/>
      <c r="DI45" s="202" t="n"/>
      <c r="DJ45" s="202" t="n"/>
      <c r="DK45" s="202" t="n"/>
      <c r="DL45" s="202" t="n"/>
      <c r="DM45" s="202" t="n"/>
      <c r="DN45" s="202" t="n"/>
      <c r="DO45" s="202" t="n"/>
      <c r="DP45" s="202" t="n"/>
      <c r="DQ45" s="202" t="n"/>
      <c r="DR45" s="202" t="n"/>
      <c r="DS45" s="202" t="n"/>
      <c r="DT45" s="202" t="n"/>
      <c r="DU45" s="202" t="n"/>
      <c r="DV45" s="202" t="n"/>
      <c r="DW45" s="202" t="n"/>
      <c r="DX45" s="202" t="n"/>
      <c r="DY45" s="202" t="n"/>
      <c r="DZ45" s="202" t="n"/>
      <c r="EA45" s="202" t="n"/>
      <c r="EB45" s="202" t="n"/>
      <c r="EC45" s="202" t="n"/>
      <c r="ED45" s="202" t="n"/>
      <c r="EE45" s="202" t="n"/>
      <c r="EF45" s="202" t="n"/>
      <c r="EG45" s="202" t="n"/>
      <c r="EH45" s="202" t="n"/>
      <c r="EI45" s="202" t="n"/>
      <c r="EJ45" s="202" t="n"/>
      <c r="EK45" s="202" t="n"/>
      <c r="EL45" s="202" t="n"/>
      <c r="EM45" s="202" t="n"/>
      <c r="EN45" s="202" t="n"/>
      <c r="EO45" s="202" t="n"/>
      <c r="EP45" s="202" t="n"/>
      <c r="EQ45" s="202" t="n"/>
      <c r="ER45" s="202" t="n"/>
      <c r="ES45" s="202" t="n"/>
      <c r="ET45" s="202" t="n"/>
      <c r="EU45" s="202" t="n"/>
      <c r="EV45" s="202" t="n"/>
      <c r="EW45" s="202" t="n"/>
      <c r="EX45" s="202" t="n"/>
      <c r="EY45" s="202" t="n"/>
      <c r="EZ45" s="202" t="n"/>
      <c r="FA45" s="202" t="n"/>
      <c r="FB45" s="202" t="n"/>
      <c r="FC45" s="202" t="n"/>
      <c r="FD45" s="202" t="n"/>
      <c r="FE45" s="202" t="n"/>
      <c r="FF45" s="202" t="n"/>
      <c r="FG45" s="202" t="n"/>
      <c r="FH45" s="202" t="n"/>
      <c r="FI45" s="202" t="n"/>
      <c r="FJ45" s="202" t="n"/>
      <c r="FK45" s="202" t="n"/>
      <c r="FL45" s="202" t="n"/>
      <c r="FM45" s="202" t="n"/>
      <c r="FN45" s="202" t="n"/>
      <c r="FO45" s="202" t="n"/>
      <c r="FP45" s="202" t="n"/>
      <c r="FQ45" s="202" t="n"/>
      <c r="FR45" s="202" t="n"/>
      <c r="FS45" s="202" t="n"/>
      <c r="FT45" s="202" t="n"/>
      <c r="FU45" s="202" t="n"/>
      <c r="FV45" s="202" t="n"/>
      <c r="FW45" s="202" t="n"/>
      <c r="FX45" s="202" t="n"/>
      <c r="FY45" s="202" t="n"/>
      <c r="FZ45" s="202" t="n"/>
      <c r="GA45" s="202" t="n"/>
      <c r="GB45" s="202" t="n"/>
      <c r="GC45" s="202" t="n"/>
      <c r="GD45" s="202" t="n"/>
      <c r="GE45" s="202" t="n"/>
      <c r="GF45" s="202" t="n"/>
      <c r="GG45" s="202" t="n"/>
      <c r="GH45" s="202" t="n"/>
      <c r="GI45" s="202" t="n"/>
      <c r="GJ45" s="202" t="n"/>
      <c r="GK45" s="202" t="n"/>
      <c r="GL45" s="202" t="n"/>
      <c r="GM45" s="202" t="n"/>
      <c r="GN45" s="202" t="n"/>
      <c r="GO45" s="202" t="n"/>
      <c r="GP45" s="202" t="n"/>
      <c r="GQ45" s="202" t="n"/>
      <c r="GR45" s="202" t="n"/>
      <c r="GS45" s="202" t="n"/>
      <c r="GT45" s="202" t="n"/>
      <c r="GU45" s="202" t="n"/>
      <c r="GV45" s="202" t="n"/>
      <c r="GW45" s="202" t="n"/>
      <c r="GX45" s="202" t="n"/>
      <c r="GY45" s="202" t="n"/>
      <c r="GZ45" s="202" t="n"/>
      <c r="HA45" s="202" t="n"/>
      <c r="HB45" s="202" t="n"/>
      <c r="HC45" s="202" t="n"/>
      <c r="HD45" s="202" t="n"/>
      <c r="HE45" s="202" t="n"/>
      <c r="HF45" s="202" t="n"/>
      <c r="HG45" s="202" t="n"/>
      <c r="HH45" s="202" t="n"/>
      <c r="HI45" s="202" t="n"/>
      <c r="HJ45" s="202" t="n"/>
      <c r="HK45" s="202" t="n"/>
      <c r="HL45" s="202" t="n"/>
      <c r="HM45" s="202" t="n"/>
      <c r="HN45" s="202" t="n"/>
      <c r="HO45" s="202" t="n"/>
      <c r="HP45" s="202" t="n"/>
      <c r="HQ45" s="202" t="n"/>
      <c r="HR45" s="202" t="n"/>
      <c r="HS45" s="202" t="n"/>
      <c r="HT45" s="202" t="n"/>
      <c r="HU45" s="202" t="n"/>
      <c r="HV45" s="202" t="n"/>
      <c r="HW45" s="202" t="n"/>
      <c r="HX45" s="202" t="n"/>
      <c r="HY45" s="202" t="n"/>
      <c r="HZ45" s="202" t="n"/>
      <c r="IA45" s="202" t="n"/>
      <c r="IB45" s="202" t="n"/>
      <c r="IC45" s="202" t="n"/>
      <c r="ID45" s="202" t="n"/>
      <c r="IE45" s="202" t="n"/>
      <c r="IF45" s="202" t="n"/>
      <c r="IG45" s="202" t="n"/>
      <c r="IH45" s="202" t="n"/>
      <c r="II45" s="202" t="n"/>
      <c r="IJ45" s="202" t="n"/>
      <c r="IK45" s="202" t="n"/>
      <c r="IL45" s="202" t="n"/>
    </row>
    <row r="46" ht="25" customFormat="1" customHeight="1" s="412">
      <c r="A46" s="235" t="n">
        <v>3.6</v>
      </c>
      <c r="B46" s="236" t="inlineStr">
        <is>
          <t>交通专项工程</t>
        </is>
      </c>
      <c r="C46" s="421" t="n"/>
      <c r="D46" s="238" t="inlineStr">
        <is>
          <t>㎡</t>
        </is>
      </c>
      <c r="E46" s="417" t="n"/>
      <c r="F46" s="417">
        <f>C46/E46*10000</f>
        <v/>
      </c>
      <c r="G46" s="228" t="inlineStr">
        <is>
          <t>区域建筑面积</t>
        </is>
      </c>
      <c r="H46" s="238" t="inlineStr">
        <is>
          <t>专业工程指标</t>
        </is>
      </c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  <c r="AH46" s="202" t="n"/>
      <c r="AI46" s="202" t="n"/>
      <c r="AJ46" s="202" t="n"/>
      <c r="AK46" s="202" t="n"/>
      <c r="AL46" s="202" t="n"/>
      <c r="AM46" s="202" t="n"/>
      <c r="AN46" s="202" t="n"/>
      <c r="AO46" s="202" t="n"/>
      <c r="AP46" s="202" t="n"/>
      <c r="AQ46" s="202" t="n"/>
      <c r="AR46" s="202" t="n"/>
      <c r="AS46" s="202" t="n"/>
      <c r="AT46" s="202" t="n"/>
      <c r="AU46" s="202" t="n"/>
      <c r="AV46" s="202" t="n"/>
      <c r="AW46" s="202" t="n"/>
      <c r="AX46" s="202" t="n"/>
      <c r="AY46" s="202" t="n"/>
      <c r="AZ46" s="202" t="n"/>
      <c r="BA46" s="202" t="n"/>
      <c r="BB46" s="202" t="n"/>
      <c r="BC46" s="202" t="n"/>
      <c r="BD46" s="202" t="n"/>
      <c r="BE46" s="202" t="n"/>
      <c r="BF46" s="202" t="n"/>
      <c r="BG46" s="202" t="n"/>
      <c r="BH46" s="202" t="n"/>
      <c r="BI46" s="202" t="n"/>
      <c r="BJ46" s="202" t="n"/>
      <c r="BK46" s="202" t="n"/>
      <c r="BL46" s="202" t="n"/>
      <c r="BM46" s="202" t="n"/>
      <c r="BN46" s="202" t="n"/>
      <c r="BO46" s="202" t="n"/>
      <c r="BP46" s="202" t="n"/>
      <c r="BQ46" s="202" t="n"/>
      <c r="BR46" s="202" t="n"/>
      <c r="BS46" s="202" t="n"/>
      <c r="BT46" s="202" t="n"/>
      <c r="BU46" s="202" t="n"/>
      <c r="BV46" s="202" t="n"/>
      <c r="BW46" s="202" t="n"/>
      <c r="BX46" s="202" t="n"/>
      <c r="BY46" s="202" t="n"/>
      <c r="BZ46" s="202" t="n"/>
      <c r="CA46" s="202" t="n"/>
      <c r="CB46" s="202" t="n"/>
      <c r="CC46" s="202" t="n"/>
      <c r="CD46" s="202" t="n"/>
      <c r="CE46" s="202" t="n"/>
      <c r="CF46" s="202" t="n"/>
      <c r="CG46" s="202" t="n"/>
      <c r="CH46" s="202" t="n"/>
      <c r="CI46" s="202" t="n"/>
      <c r="CJ46" s="202" t="n"/>
      <c r="CK46" s="202" t="n"/>
      <c r="CL46" s="202" t="n"/>
      <c r="CM46" s="202" t="n"/>
      <c r="CN46" s="202" t="n"/>
      <c r="CO46" s="202" t="n"/>
      <c r="CP46" s="202" t="n"/>
      <c r="CQ46" s="202" t="n"/>
      <c r="CR46" s="202" t="n"/>
      <c r="CS46" s="202" t="n"/>
      <c r="CT46" s="202" t="n"/>
      <c r="CU46" s="202" t="n"/>
      <c r="CV46" s="202" t="n"/>
      <c r="CW46" s="202" t="n"/>
      <c r="CX46" s="202" t="n"/>
      <c r="CY46" s="202" t="n"/>
      <c r="CZ46" s="202" t="n"/>
      <c r="DA46" s="202" t="n"/>
      <c r="DB46" s="202" t="n"/>
      <c r="DC46" s="202" t="n"/>
      <c r="DD46" s="202" t="n"/>
      <c r="DE46" s="202" t="n"/>
      <c r="DF46" s="202" t="n"/>
      <c r="DG46" s="202" t="n"/>
      <c r="DH46" s="202" t="n"/>
      <c r="DI46" s="202" t="n"/>
      <c r="DJ46" s="202" t="n"/>
      <c r="DK46" s="202" t="n"/>
      <c r="DL46" s="202" t="n"/>
      <c r="DM46" s="202" t="n"/>
      <c r="DN46" s="202" t="n"/>
      <c r="DO46" s="202" t="n"/>
      <c r="DP46" s="202" t="n"/>
      <c r="DQ46" s="202" t="n"/>
      <c r="DR46" s="202" t="n"/>
      <c r="DS46" s="202" t="n"/>
      <c r="DT46" s="202" t="n"/>
      <c r="DU46" s="202" t="n"/>
      <c r="DV46" s="202" t="n"/>
      <c r="DW46" s="202" t="n"/>
      <c r="DX46" s="202" t="n"/>
      <c r="DY46" s="202" t="n"/>
      <c r="DZ46" s="202" t="n"/>
      <c r="EA46" s="202" t="n"/>
      <c r="EB46" s="202" t="n"/>
      <c r="EC46" s="202" t="n"/>
      <c r="ED46" s="202" t="n"/>
      <c r="EE46" s="202" t="n"/>
      <c r="EF46" s="202" t="n"/>
      <c r="EG46" s="202" t="n"/>
      <c r="EH46" s="202" t="n"/>
      <c r="EI46" s="202" t="n"/>
      <c r="EJ46" s="202" t="n"/>
      <c r="EK46" s="202" t="n"/>
      <c r="EL46" s="202" t="n"/>
      <c r="EM46" s="202" t="n"/>
      <c r="EN46" s="202" t="n"/>
      <c r="EO46" s="202" t="n"/>
      <c r="EP46" s="202" t="n"/>
      <c r="EQ46" s="202" t="n"/>
      <c r="ER46" s="202" t="n"/>
      <c r="ES46" s="202" t="n"/>
      <c r="ET46" s="202" t="n"/>
      <c r="EU46" s="202" t="n"/>
      <c r="EV46" s="202" t="n"/>
      <c r="EW46" s="202" t="n"/>
      <c r="EX46" s="202" t="n"/>
      <c r="EY46" s="202" t="n"/>
      <c r="EZ46" s="202" t="n"/>
      <c r="FA46" s="202" t="n"/>
      <c r="FB46" s="202" t="n"/>
      <c r="FC46" s="202" t="n"/>
      <c r="FD46" s="202" t="n"/>
      <c r="FE46" s="202" t="n"/>
      <c r="FF46" s="202" t="n"/>
      <c r="FG46" s="202" t="n"/>
      <c r="FH46" s="202" t="n"/>
      <c r="FI46" s="202" t="n"/>
      <c r="FJ46" s="202" t="n"/>
      <c r="FK46" s="202" t="n"/>
      <c r="FL46" s="202" t="n"/>
      <c r="FM46" s="202" t="n"/>
      <c r="FN46" s="202" t="n"/>
      <c r="FO46" s="202" t="n"/>
      <c r="FP46" s="202" t="n"/>
      <c r="FQ46" s="202" t="n"/>
      <c r="FR46" s="202" t="n"/>
      <c r="FS46" s="202" t="n"/>
      <c r="FT46" s="202" t="n"/>
      <c r="FU46" s="202" t="n"/>
      <c r="FV46" s="202" t="n"/>
      <c r="FW46" s="202" t="n"/>
      <c r="FX46" s="202" t="n"/>
      <c r="FY46" s="202" t="n"/>
      <c r="FZ46" s="202" t="n"/>
      <c r="GA46" s="202" t="n"/>
      <c r="GB46" s="202" t="n"/>
      <c r="GC46" s="202" t="n"/>
      <c r="GD46" s="202" t="n"/>
      <c r="GE46" s="202" t="n"/>
      <c r="GF46" s="202" t="n"/>
      <c r="GG46" s="202" t="n"/>
      <c r="GH46" s="202" t="n"/>
      <c r="GI46" s="202" t="n"/>
      <c r="GJ46" s="202" t="n"/>
      <c r="GK46" s="202" t="n"/>
      <c r="GL46" s="202" t="n"/>
      <c r="GM46" s="202" t="n"/>
      <c r="GN46" s="202" t="n"/>
      <c r="GO46" s="202" t="n"/>
      <c r="GP46" s="202" t="n"/>
      <c r="GQ46" s="202" t="n"/>
      <c r="GR46" s="202" t="n"/>
      <c r="GS46" s="202" t="n"/>
      <c r="GT46" s="202" t="n"/>
      <c r="GU46" s="202" t="n"/>
      <c r="GV46" s="202" t="n"/>
      <c r="GW46" s="202" t="n"/>
      <c r="GX46" s="202" t="n"/>
      <c r="GY46" s="202" t="n"/>
      <c r="GZ46" s="202" t="n"/>
      <c r="HA46" s="202" t="n"/>
      <c r="HB46" s="202" t="n"/>
      <c r="HC46" s="202" t="n"/>
      <c r="HD46" s="202" t="n"/>
      <c r="HE46" s="202" t="n"/>
      <c r="HF46" s="202" t="n"/>
      <c r="HG46" s="202" t="n"/>
      <c r="HH46" s="202" t="n"/>
      <c r="HI46" s="202" t="n"/>
      <c r="HJ46" s="202" t="n"/>
      <c r="HK46" s="202" t="n"/>
      <c r="HL46" s="202" t="n"/>
      <c r="HM46" s="202" t="n"/>
      <c r="HN46" s="202" t="n"/>
      <c r="HO46" s="202" t="n"/>
      <c r="HP46" s="202" t="n"/>
      <c r="HQ46" s="202" t="n"/>
      <c r="HR46" s="202" t="n"/>
      <c r="HS46" s="202" t="n"/>
      <c r="HT46" s="202" t="n"/>
      <c r="HU46" s="202" t="n"/>
      <c r="HV46" s="202" t="n"/>
      <c r="HW46" s="202" t="n"/>
      <c r="HX46" s="202" t="n"/>
      <c r="HY46" s="202" t="n"/>
      <c r="HZ46" s="202" t="n"/>
      <c r="IA46" s="202" t="n"/>
      <c r="IB46" s="202" t="n"/>
      <c r="IC46" s="202" t="n"/>
      <c r="ID46" s="202" t="n"/>
      <c r="IE46" s="202" t="n"/>
      <c r="IF46" s="202" t="n"/>
      <c r="IG46" s="202" t="n"/>
      <c r="IH46" s="202" t="n"/>
      <c r="II46" s="202" t="n"/>
      <c r="IJ46" s="202" t="n"/>
      <c r="IK46" s="202" t="n"/>
      <c r="IL46" s="202" t="n"/>
    </row>
    <row r="47" ht="25" customFormat="1" customHeight="1" s="412">
      <c r="A47" s="235" t="n">
        <v>3.7</v>
      </c>
      <c r="B47" s="236" t="inlineStr">
        <is>
          <t>演艺专项工程</t>
        </is>
      </c>
      <c r="C47" s="421" t="n"/>
      <c r="D47" s="238" t="inlineStr">
        <is>
          <t>㎡</t>
        </is>
      </c>
      <c r="E47" s="417" t="n"/>
      <c r="F47" s="417">
        <f>C47/E47*10000</f>
        <v/>
      </c>
      <c r="G47" s="228" t="inlineStr">
        <is>
          <t>区域建筑面积</t>
        </is>
      </c>
      <c r="H47" s="238" t="inlineStr">
        <is>
          <t>专业工程指标</t>
        </is>
      </c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  <c r="AH47" s="202" t="n"/>
      <c r="AI47" s="202" t="n"/>
      <c r="AJ47" s="202" t="n"/>
      <c r="AK47" s="202" t="n"/>
      <c r="AL47" s="202" t="n"/>
      <c r="AM47" s="202" t="n"/>
      <c r="AN47" s="202" t="n"/>
      <c r="AO47" s="202" t="n"/>
      <c r="AP47" s="202" t="n"/>
      <c r="AQ47" s="202" t="n"/>
      <c r="AR47" s="202" t="n"/>
      <c r="AS47" s="202" t="n"/>
      <c r="AT47" s="202" t="n"/>
      <c r="AU47" s="202" t="n"/>
      <c r="AV47" s="202" t="n"/>
      <c r="AW47" s="202" t="n"/>
      <c r="AX47" s="202" t="n"/>
      <c r="AY47" s="202" t="n"/>
      <c r="AZ47" s="202" t="n"/>
      <c r="BA47" s="202" t="n"/>
      <c r="BB47" s="202" t="n"/>
      <c r="BC47" s="202" t="n"/>
      <c r="BD47" s="202" t="n"/>
      <c r="BE47" s="202" t="n"/>
      <c r="BF47" s="202" t="n"/>
      <c r="BG47" s="202" t="n"/>
      <c r="BH47" s="202" t="n"/>
      <c r="BI47" s="202" t="n"/>
      <c r="BJ47" s="202" t="n"/>
      <c r="BK47" s="202" t="n"/>
      <c r="BL47" s="202" t="n"/>
      <c r="BM47" s="202" t="n"/>
      <c r="BN47" s="202" t="n"/>
      <c r="BO47" s="202" t="n"/>
      <c r="BP47" s="202" t="n"/>
      <c r="BQ47" s="202" t="n"/>
      <c r="BR47" s="202" t="n"/>
      <c r="BS47" s="202" t="n"/>
      <c r="BT47" s="202" t="n"/>
      <c r="BU47" s="202" t="n"/>
      <c r="BV47" s="202" t="n"/>
      <c r="BW47" s="202" t="n"/>
      <c r="BX47" s="202" t="n"/>
      <c r="BY47" s="202" t="n"/>
      <c r="BZ47" s="202" t="n"/>
      <c r="CA47" s="202" t="n"/>
      <c r="CB47" s="202" t="n"/>
      <c r="CC47" s="202" t="n"/>
      <c r="CD47" s="202" t="n"/>
      <c r="CE47" s="202" t="n"/>
      <c r="CF47" s="202" t="n"/>
      <c r="CG47" s="202" t="n"/>
      <c r="CH47" s="202" t="n"/>
      <c r="CI47" s="202" t="n"/>
      <c r="CJ47" s="202" t="n"/>
      <c r="CK47" s="202" t="n"/>
      <c r="CL47" s="202" t="n"/>
      <c r="CM47" s="202" t="n"/>
      <c r="CN47" s="202" t="n"/>
      <c r="CO47" s="202" t="n"/>
      <c r="CP47" s="202" t="n"/>
      <c r="CQ47" s="202" t="n"/>
      <c r="CR47" s="202" t="n"/>
      <c r="CS47" s="202" t="n"/>
      <c r="CT47" s="202" t="n"/>
      <c r="CU47" s="202" t="n"/>
      <c r="CV47" s="202" t="n"/>
      <c r="CW47" s="202" t="n"/>
      <c r="CX47" s="202" t="n"/>
      <c r="CY47" s="202" t="n"/>
      <c r="CZ47" s="202" t="n"/>
      <c r="DA47" s="202" t="n"/>
      <c r="DB47" s="202" t="n"/>
      <c r="DC47" s="202" t="n"/>
      <c r="DD47" s="202" t="n"/>
      <c r="DE47" s="202" t="n"/>
      <c r="DF47" s="202" t="n"/>
      <c r="DG47" s="202" t="n"/>
      <c r="DH47" s="202" t="n"/>
      <c r="DI47" s="202" t="n"/>
      <c r="DJ47" s="202" t="n"/>
      <c r="DK47" s="202" t="n"/>
      <c r="DL47" s="202" t="n"/>
      <c r="DM47" s="202" t="n"/>
      <c r="DN47" s="202" t="n"/>
      <c r="DO47" s="202" t="n"/>
      <c r="DP47" s="202" t="n"/>
      <c r="DQ47" s="202" t="n"/>
      <c r="DR47" s="202" t="n"/>
      <c r="DS47" s="202" t="n"/>
      <c r="DT47" s="202" t="n"/>
      <c r="DU47" s="202" t="n"/>
      <c r="DV47" s="202" t="n"/>
      <c r="DW47" s="202" t="n"/>
      <c r="DX47" s="202" t="n"/>
      <c r="DY47" s="202" t="n"/>
      <c r="DZ47" s="202" t="n"/>
      <c r="EA47" s="202" t="n"/>
      <c r="EB47" s="202" t="n"/>
      <c r="EC47" s="202" t="n"/>
      <c r="ED47" s="202" t="n"/>
      <c r="EE47" s="202" t="n"/>
      <c r="EF47" s="202" t="n"/>
      <c r="EG47" s="202" t="n"/>
      <c r="EH47" s="202" t="n"/>
      <c r="EI47" s="202" t="n"/>
      <c r="EJ47" s="202" t="n"/>
      <c r="EK47" s="202" t="n"/>
      <c r="EL47" s="202" t="n"/>
      <c r="EM47" s="202" t="n"/>
      <c r="EN47" s="202" t="n"/>
      <c r="EO47" s="202" t="n"/>
      <c r="EP47" s="202" t="n"/>
      <c r="EQ47" s="202" t="n"/>
      <c r="ER47" s="202" t="n"/>
      <c r="ES47" s="202" t="n"/>
      <c r="ET47" s="202" t="n"/>
      <c r="EU47" s="202" t="n"/>
      <c r="EV47" s="202" t="n"/>
      <c r="EW47" s="202" t="n"/>
      <c r="EX47" s="202" t="n"/>
      <c r="EY47" s="202" t="n"/>
      <c r="EZ47" s="202" t="n"/>
      <c r="FA47" s="202" t="n"/>
      <c r="FB47" s="202" t="n"/>
      <c r="FC47" s="202" t="n"/>
      <c r="FD47" s="202" t="n"/>
      <c r="FE47" s="202" t="n"/>
      <c r="FF47" s="202" t="n"/>
      <c r="FG47" s="202" t="n"/>
      <c r="FH47" s="202" t="n"/>
      <c r="FI47" s="202" t="n"/>
      <c r="FJ47" s="202" t="n"/>
      <c r="FK47" s="202" t="n"/>
      <c r="FL47" s="202" t="n"/>
      <c r="FM47" s="202" t="n"/>
      <c r="FN47" s="202" t="n"/>
      <c r="FO47" s="202" t="n"/>
      <c r="FP47" s="202" t="n"/>
      <c r="FQ47" s="202" t="n"/>
      <c r="FR47" s="202" t="n"/>
      <c r="FS47" s="202" t="n"/>
      <c r="FT47" s="202" t="n"/>
      <c r="FU47" s="202" t="n"/>
      <c r="FV47" s="202" t="n"/>
      <c r="FW47" s="202" t="n"/>
      <c r="FX47" s="202" t="n"/>
      <c r="FY47" s="202" t="n"/>
      <c r="FZ47" s="202" t="n"/>
      <c r="GA47" s="202" t="n"/>
      <c r="GB47" s="202" t="n"/>
      <c r="GC47" s="202" t="n"/>
      <c r="GD47" s="202" t="n"/>
      <c r="GE47" s="202" t="n"/>
      <c r="GF47" s="202" t="n"/>
      <c r="GG47" s="202" t="n"/>
      <c r="GH47" s="202" t="n"/>
      <c r="GI47" s="202" t="n"/>
      <c r="GJ47" s="202" t="n"/>
      <c r="GK47" s="202" t="n"/>
      <c r="GL47" s="202" t="n"/>
      <c r="GM47" s="202" t="n"/>
      <c r="GN47" s="202" t="n"/>
      <c r="GO47" s="202" t="n"/>
      <c r="GP47" s="202" t="n"/>
      <c r="GQ47" s="202" t="n"/>
      <c r="GR47" s="202" t="n"/>
      <c r="GS47" s="202" t="n"/>
      <c r="GT47" s="202" t="n"/>
      <c r="GU47" s="202" t="n"/>
      <c r="GV47" s="202" t="n"/>
      <c r="GW47" s="202" t="n"/>
      <c r="GX47" s="202" t="n"/>
      <c r="GY47" s="202" t="n"/>
      <c r="GZ47" s="202" t="n"/>
      <c r="HA47" s="202" t="n"/>
      <c r="HB47" s="202" t="n"/>
      <c r="HC47" s="202" t="n"/>
      <c r="HD47" s="202" t="n"/>
      <c r="HE47" s="202" t="n"/>
      <c r="HF47" s="202" t="n"/>
      <c r="HG47" s="202" t="n"/>
      <c r="HH47" s="202" t="n"/>
      <c r="HI47" s="202" t="n"/>
      <c r="HJ47" s="202" t="n"/>
      <c r="HK47" s="202" t="n"/>
      <c r="HL47" s="202" t="n"/>
      <c r="HM47" s="202" t="n"/>
      <c r="HN47" s="202" t="n"/>
      <c r="HO47" s="202" t="n"/>
      <c r="HP47" s="202" t="n"/>
      <c r="HQ47" s="202" t="n"/>
      <c r="HR47" s="202" t="n"/>
      <c r="HS47" s="202" t="n"/>
      <c r="HT47" s="202" t="n"/>
      <c r="HU47" s="202" t="n"/>
      <c r="HV47" s="202" t="n"/>
      <c r="HW47" s="202" t="n"/>
      <c r="HX47" s="202" t="n"/>
      <c r="HY47" s="202" t="n"/>
      <c r="HZ47" s="202" t="n"/>
      <c r="IA47" s="202" t="n"/>
      <c r="IB47" s="202" t="n"/>
      <c r="IC47" s="202" t="n"/>
      <c r="ID47" s="202" t="n"/>
      <c r="IE47" s="202" t="n"/>
      <c r="IF47" s="202" t="n"/>
      <c r="IG47" s="202" t="n"/>
      <c r="IH47" s="202" t="n"/>
      <c r="II47" s="202" t="n"/>
      <c r="IJ47" s="202" t="n"/>
      <c r="IK47" s="202" t="n"/>
      <c r="IL47" s="202" t="n"/>
    </row>
    <row r="48" ht="25" customFormat="1" customHeight="1" s="412">
      <c r="A48" s="235" t="n">
        <v>3.8</v>
      </c>
      <c r="B48" s="236" t="inlineStr">
        <is>
          <t>建筑智能化专项工程</t>
        </is>
      </c>
      <c r="C48" s="421" t="n"/>
      <c r="D48" s="238" t="inlineStr">
        <is>
          <t>㎡</t>
        </is>
      </c>
      <c r="E48" s="417" t="n"/>
      <c r="F48" s="417">
        <f>C48/E48*10000</f>
        <v/>
      </c>
      <c r="G48" s="228" t="inlineStr">
        <is>
          <t>区域建筑面积</t>
        </is>
      </c>
      <c r="H48" s="238" t="inlineStr">
        <is>
          <t>专业工程指标</t>
        </is>
      </c>
      <c r="I48" s="202" t="n"/>
      <c r="J48" s="202" t="n"/>
      <c r="K48" s="202" t="n"/>
      <c r="L48" s="202" t="n"/>
      <c r="M48" s="202" t="n"/>
      <c r="N48" s="202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  <c r="AH48" s="202" t="n"/>
      <c r="AI48" s="202" t="n"/>
      <c r="AJ48" s="202" t="n"/>
      <c r="AK48" s="202" t="n"/>
      <c r="AL48" s="202" t="n"/>
      <c r="AM48" s="202" t="n"/>
      <c r="AN48" s="202" t="n"/>
      <c r="AO48" s="202" t="n"/>
      <c r="AP48" s="202" t="n"/>
      <c r="AQ48" s="202" t="n"/>
      <c r="AR48" s="202" t="n"/>
      <c r="AS48" s="202" t="n"/>
      <c r="AT48" s="202" t="n"/>
      <c r="AU48" s="202" t="n"/>
      <c r="AV48" s="202" t="n"/>
      <c r="AW48" s="202" t="n"/>
      <c r="AX48" s="202" t="n"/>
      <c r="AY48" s="202" t="n"/>
      <c r="AZ48" s="202" t="n"/>
      <c r="BA48" s="202" t="n"/>
      <c r="BB48" s="202" t="n"/>
      <c r="BC48" s="202" t="n"/>
      <c r="BD48" s="202" t="n"/>
      <c r="BE48" s="202" t="n"/>
      <c r="BF48" s="202" t="n"/>
      <c r="BG48" s="202" t="n"/>
      <c r="BH48" s="202" t="n"/>
      <c r="BI48" s="202" t="n"/>
      <c r="BJ48" s="202" t="n"/>
      <c r="BK48" s="202" t="n"/>
      <c r="BL48" s="202" t="n"/>
      <c r="BM48" s="202" t="n"/>
      <c r="BN48" s="202" t="n"/>
      <c r="BO48" s="202" t="n"/>
      <c r="BP48" s="202" t="n"/>
      <c r="BQ48" s="202" t="n"/>
      <c r="BR48" s="202" t="n"/>
      <c r="BS48" s="202" t="n"/>
      <c r="BT48" s="202" t="n"/>
      <c r="BU48" s="202" t="n"/>
      <c r="BV48" s="202" t="n"/>
      <c r="BW48" s="202" t="n"/>
      <c r="BX48" s="202" t="n"/>
      <c r="BY48" s="202" t="n"/>
      <c r="BZ48" s="202" t="n"/>
      <c r="CA48" s="202" t="n"/>
      <c r="CB48" s="202" t="n"/>
      <c r="CC48" s="202" t="n"/>
      <c r="CD48" s="202" t="n"/>
      <c r="CE48" s="202" t="n"/>
      <c r="CF48" s="202" t="n"/>
      <c r="CG48" s="202" t="n"/>
      <c r="CH48" s="202" t="n"/>
      <c r="CI48" s="202" t="n"/>
      <c r="CJ48" s="202" t="n"/>
      <c r="CK48" s="202" t="n"/>
      <c r="CL48" s="202" t="n"/>
      <c r="CM48" s="202" t="n"/>
      <c r="CN48" s="202" t="n"/>
      <c r="CO48" s="202" t="n"/>
      <c r="CP48" s="202" t="n"/>
      <c r="CQ48" s="202" t="n"/>
      <c r="CR48" s="202" t="n"/>
      <c r="CS48" s="202" t="n"/>
      <c r="CT48" s="202" t="n"/>
      <c r="CU48" s="202" t="n"/>
      <c r="CV48" s="202" t="n"/>
      <c r="CW48" s="202" t="n"/>
      <c r="CX48" s="202" t="n"/>
      <c r="CY48" s="202" t="n"/>
      <c r="CZ48" s="202" t="n"/>
      <c r="DA48" s="202" t="n"/>
      <c r="DB48" s="202" t="n"/>
      <c r="DC48" s="202" t="n"/>
      <c r="DD48" s="202" t="n"/>
      <c r="DE48" s="202" t="n"/>
      <c r="DF48" s="202" t="n"/>
      <c r="DG48" s="202" t="n"/>
      <c r="DH48" s="202" t="n"/>
      <c r="DI48" s="202" t="n"/>
      <c r="DJ48" s="202" t="n"/>
      <c r="DK48" s="202" t="n"/>
      <c r="DL48" s="202" t="n"/>
      <c r="DM48" s="202" t="n"/>
      <c r="DN48" s="202" t="n"/>
      <c r="DO48" s="202" t="n"/>
      <c r="DP48" s="202" t="n"/>
      <c r="DQ48" s="202" t="n"/>
      <c r="DR48" s="202" t="n"/>
      <c r="DS48" s="202" t="n"/>
      <c r="DT48" s="202" t="n"/>
      <c r="DU48" s="202" t="n"/>
      <c r="DV48" s="202" t="n"/>
      <c r="DW48" s="202" t="n"/>
      <c r="DX48" s="202" t="n"/>
      <c r="DY48" s="202" t="n"/>
      <c r="DZ48" s="202" t="n"/>
      <c r="EA48" s="202" t="n"/>
      <c r="EB48" s="202" t="n"/>
      <c r="EC48" s="202" t="n"/>
      <c r="ED48" s="202" t="n"/>
      <c r="EE48" s="202" t="n"/>
      <c r="EF48" s="202" t="n"/>
      <c r="EG48" s="202" t="n"/>
      <c r="EH48" s="202" t="n"/>
      <c r="EI48" s="202" t="n"/>
      <c r="EJ48" s="202" t="n"/>
      <c r="EK48" s="202" t="n"/>
      <c r="EL48" s="202" t="n"/>
      <c r="EM48" s="202" t="n"/>
      <c r="EN48" s="202" t="n"/>
      <c r="EO48" s="202" t="n"/>
      <c r="EP48" s="202" t="n"/>
      <c r="EQ48" s="202" t="n"/>
      <c r="ER48" s="202" t="n"/>
      <c r="ES48" s="202" t="n"/>
      <c r="ET48" s="202" t="n"/>
      <c r="EU48" s="202" t="n"/>
      <c r="EV48" s="202" t="n"/>
      <c r="EW48" s="202" t="n"/>
      <c r="EX48" s="202" t="n"/>
      <c r="EY48" s="202" t="n"/>
      <c r="EZ48" s="202" t="n"/>
      <c r="FA48" s="202" t="n"/>
      <c r="FB48" s="202" t="n"/>
      <c r="FC48" s="202" t="n"/>
      <c r="FD48" s="202" t="n"/>
      <c r="FE48" s="202" t="n"/>
      <c r="FF48" s="202" t="n"/>
      <c r="FG48" s="202" t="n"/>
      <c r="FH48" s="202" t="n"/>
      <c r="FI48" s="202" t="n"/>
      <c r="FJ48" s="202" t="n"/>
      <c r="FK48" s="202" t="n"/>
      <c r="FL48" s="202" t="n"/>
      <c r="FM48" s="202" t="n"/>
      <c r="FN48" s="202" t="n"/>
      <c r="FO48" s="202" t="n"/>
      <c r="FP48" s="202" t="n"/>
      <c r="FQ48" s="202" t="n"/>
      <c r="FR48" s="202" t="n"/>
      <c r="FS48" s="202" t="n"/>
      <c r="FT48" s="202" t="n"/>
      <c r="FU48" s="202" t="n"/>
      <c r="FV48" s="202" t="n"/>
      <c r="FW48" s="202" t="n"/>
      <c r="FX48" s="202" t="n"/>
      <c r="FY48" s="202" t="n"/>
      <c r="FZ48" s="202" t="n"/>
      <c r="GA48" s="202" t="n"/>
      <c r="GB48" s="202" t="n"/>
      <c r="GC48" s="202" t="n"/>
      <c r="GD48" s="202" t="n"/>
      <c r="GE48" s="202" t="n"/>
      <c r="GF48" s="202" t="n"/>
      <c r="GG48" s="202" t="n"/>
      <c r="GH48" s="202" t="n"/>
      <c r="GI48" s="202" t="n"/>
      <c r="GJ48" s="202" t="n"/>
      <c r="GK48" s="202" t="n"/>
      <c r="GL48" s="202" t="n"/>
      <c r="GM48" s="202" t="n"/>
      <c r="GN48" s="202" t="n"/>
      <c r="GO48" s="202" t="n"/>
      <c r="GP48" s="202" t="n"/>
      <c r="GQ48" s="202" t="n"/>
      <c r="GR48" s="202" t="n"/>
      <c r="GS48" s="202" t="n"/>
      <c r="GT48" s="202" t="n"/>
      <c r="GU48" s="202" t="n"/>
      <c r="GV48" s="202" t="n"/>
      <c r="GW48" s="202" t="n"/>
      <c r="GX48" s="202" t="n"/>
      <c r="GY48" s="202" t="n"/>
      <c r="GZ48" s="202" t="n"/>
      <c r="HA48" s="202" t="n"/>
      <c r="HB48" s="202" t="n"/>
      <c r="HC48" s="202" t="n"/>
      <c r="HD48" s="202" t="n"/>
      <c r="HE48" s="202" t="n"/>
      <c r="HF48" s="202" t="n"/>
      <c r="HG48" s="202" t="n"/>
      <c r="HH48" s="202" t="n"/>
      <c r="HI48" s="202" t="n"/>
      <c r="HJ48" s="202" t="n"/>
      <c r="HK48" s="202" t="n"/>
      <c r="HL48" s="202" t="n"/>
      <c r="HM48" s="202" t="n"/>
      <c r="HN48" s="202" t="n"/>
      <c r="HO48" s="202" t="n"/>
      <c r="HP48" s="202" t="n"/>
      <c r="HQ48" s="202" t="n"/>
      <c r="HR48" s="202" t="n"/>
      <c r="HS48" s="202" t="n"/>
      <c r="HT48" s="202" t="n"/>
      <c r="HU48" s="202" t="n"/>
      <c r="HV48" s="202" t="n"/>
      <c r="HW48" s="202" t="n"/>
      <c r="HX48" s="202" t="n"/>
      <c r="HY48" s="202" t="n"/>
      <c r="HZ48" s="202" t="n"/>
      <c r="IA48" s="202" t="n"/>
      <c r="IB48" s="202" t="n"/>
      <c r="IC48" s="202" t="n"/>
      <c r="ID48" s="202" t="n"/>
      <c r="IE48" s="202" t="n"/>
      <c r="IF48" s="202" t="n"/>
      <c r="IG48" s="202" t="n"/>
      <c r="IH48" s="202" t="n"/>
      <c r="II48" s="202" t="n"/>
      <c r="IJ48" s="202" t="n"/>
      <c r="IK48" s="202" t="n"/>
      <c r="IL48" s="202" t="n"/>
    </row>
    <row r="49" ht="25" customFormat="1" customHeight="1" s="412">
      <c r="A49" s="235" t="n">
        <v>3.9</v>
      </c>
      <c r="B49" s="236" t="inlineStr">
        <is>
          <t>其他专项工程</t>
        </is>
      </c>
      <c r="C49" s="237">
        <f>SUM(C50:C53)</f>
        <v/>
      </c>
      <c r="D49" s="238" t="inlineStr">
        <is>
          <t>㎡</t>
        </is>
      </c>
      <c r="E49" s="417" t="n"/>
      <c r="F49" s="417">
        <f>C49/E49*10000</f>
        <v/>
      </c>
      <c r="G49" s="228" t="inlineStr">
        <is>
          <t>区域建筑面积</t>
        </is>
      </c>
      <c r="H49" s="238" t="inlineStr">
        <is>
          <t>专业工程指标</t>
        </is>
      </c>
      <c r="I49" s="202" t="n"/>
      <c r="J49" s="202" t="n"/>
      <c r="K49" s="202" t="n"/>
      <c r="L49" s="202" t="n"/>
      <c r="M49" s="202" t="n"/>
      <c r="N49" s="202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  <c r="AH49" s="202" t="n"/>
      <c r="AI49" s="202" t="n"/>
      <c r="AJ49" s="202" t="n"/>
      <c r="AK49" s="202" t="n"/>
      <c r="AL49" s="202" t="n"/>
      <c r="AM49" s="202" t="n"/>
      <c r="AN49" s="202" t="n"/>
      <c r="AO49" s="202" t="n"/>
      <c r="AP49" s="202" t="n"/>
      <c r="AQ49" s="202" t="n"/>
      <c r="AR49" s="202" t="n"/>
      <c r="AS49" s="202" t="n"/>
      <c r="AT49" s="202" t="n"/>
      <c r="AU49" s="202" t="n"/>
      <c r="AV49" s="202" t="n"/>
      <c r="AW49" s="202" t="n"/>
      <c r="AX49" s="202" t="n"/>
      <c r="AY49" s="202" t="n"/>
      <c r="AZ49" s="202" t="n"/>
      <c r="BA49" s="202" t="n"/>
      <c r="BB49" s="202" t="n"/>
      <c r="BC49" s="202" t="n"/>
      <c r="BD49" s="202" t="n"/>
      <c r="BE49" s="202" t="n"/>
      <c r="BF49" s="202" t="n"/>
      <c r="BG49" s="202" t="n"/>
      <c r="BH49" s="202" t="n"/>
      <c r="BI49" s="202" t="n"/>
      <c r="BJ49" s="202" t="n"/>
      <c r="BK49" s="202" t="n"/>
      <c r="BL49" s="202" t="n"/>
      <c r="BM49" s="202" t="n"/>
      <c r="BN49" s="202" t="n"/>
      <c r="BO49" s="202" t="n"/>
      <c r="BP49" s="202" t="n"/>
      <c r="BQ49" s="202" t="n"/>
      <c r="BR49" s="202" t="n"/>
      <c r="BS49" s="202" t="n"/>
      <c r="BT49" s="202" t="n"/>
      <c r="BU49" s="202" t="n"/>
      <c r="BV49" s="202" t="n"/>
      <c r="BW49" s="202" t="n"/>
      <c r="BX49" s="202" t="n"/>
      <c r="BY49" s="202" t="n"/>
      <c r="BZ49" s="202" t="n"/>
      <c r="CA49" s="202" t="n"/>
      <c r="CB49" s="202" t="n"/>
      <c r="CC49" s="202" t="n"/>
      <c r="CD49" s="202" t="n"/>
      <c r="CE49" s="202" t="n"/>
      <c r="CF49" s="202" t="n"/>
      <c r="CG49" s="202" t="n"/>
      <c r="CH49" s="202" t="n"/>
      <c r="CI49" s="202" t="n"/>
      <c r="CJ49" s="202" t="n"/>
      <c r="CK49" s="202" t="n"/>
      <c r="CL49" s="202" t="n"/>
      <c r="CM49" s="202" t="n"/>
      <c r="CN49" s="202" t="n"/>
      <c r="CO49" s="202" t="n"/>
      <c r="CP49" s="202" t="n"/>
      <c r="CQ49" s="202" t="n"/>
      <c r="CR49" s="202" t="n"/>
      <c r="CS49" s="202" t="n"/>
      <c r="CT49" s="202" t="n"/>
      <c r="CU49" s="202" t="n"/>
      <c r="CV49" s="202" t="n"/>
      <c r="CW49" s="202" t="n"/>
      <c r="CX49" s="202" t="n"/>
      <c r="CY49" s="202" t="n"/>
      <c r="CZ49" s="202" t="n"/>
      <c r="DA49" s="202" t="n"/>
      <c r="DB49" s="202" t="n"/>
      <c r="DC49" s="202" t="n"/>
      <c r="DD49" s="202" t="n"/>
      <c r="DE49" s="202" t="n"/>
      <c r="DF49" s="202" t="n"/>
      <c r="DG49" s="202" t="n"/>
      <c r="DH49" s="202" t="n"/>
      <c r="DI49" s="202" t="n"/>
      <c r="DJ49" s="202" t="n"/>
      <c r="DK49" s="202" t="n"/>
      <c r="DL49" s="202" t="n"/>
      <c r="DM49" s="202" t="n"/>
      <c r="DN49" s="202" t="n"/>
      <c r="DO49" s="202" t="n"/>
      <c r="DP49" s="202" t="n"/>
      <c r="DQ49" s="202" t="n"/>
      <c r="DR49" s="202" t="n"/>
      <c r="DS49" s="202" t="n"/>
      <c r="DT49" s="202" t="n"/>
      <c r="DU49" s="202" t="n"/>
      <c r="DV49" s="202" t="n"/>
      <c r="DW49" s="202" t="n"/>
      <c r="DX49" s="202" t="n"/>
      <c r="DY49" s="202" t="n"/>
      <c r="DZ49" s="202" t="n"/>
      <c r="EA49" s="202" t="n"/>
      <c r="EB49" s="202" t="n"/>
      <c r="EC49" s="202" t="n"/>
      <c r="ED49" s="202" t="n"/>
      <c r="EE49" s="202" t="n"/>
      <c r="EF49" s="202" t="n"/>
      <c r="EG49" s="202" t="n"/>
      <c r="EH49" s="202" t="n"/>
      <c r="EI49" s="202" t="n"/>
      <c r="EJ49" s="202" t="n"/>
      <c r="EK49" s="202" t="n"/>
      <c r="EL49" s="202" t="n"/>
      <c r="EM49" s="202" t="n"/>
      <c r="EN49" s="202" t="n"/>
      <c r="EO49" s="202" t="n"/>
      <c r="EP49" s="202" t="n"/>
      <c r="EQ49" s="202" t="n"/>
      <c r="ER49" s="202" t="n"/>
      <c r="ES49" s="202" t="n"/>
      <c r="ET49" s="202" t="n"/>
      <c r="EU49" s="202" t="n"/>
      <c r="EV49" s="202" t="n"/>
      <c r="EW49" s="202" t="n"/>
      <c r="EX49" s="202" t="n"/>
      <c r="EY49" s="202" t="n"/>
      <c r="EZ49" s="202" t="n"/>
      <c r="FA49" s="202" t="n"/>
      <c r="FB49" s="202" t="n"/>
      <c r="FC49" s="202" t="n"/>
      <c r="FD49" s="202" t="n"/>
      <c r="FE49" s="202" t="n"/>
      <c r="FF49" s="202" t="n"/>
      <c r="FG49" s="202" t="n"/>
      <c r="FH49" s="202" t="n"/>
      <c r="FI49" s="202" t="n"/>
      <c r="FJ49" s="202" t="n"/>
      <c r="FK49" s="202" t="n"/>
      <c r="FL49" s="202" t="n"/>
      <c r="FM49" s="202" t="n"/>
      <c r="FN49" s="202" t="n"/>
      <c r="FO49" s="202" t="n"/>
      <c r="FP49" s="202" t="n"/>
      <c r="FQ49" s="202" t="n"/>
      <c r="FR49" s="202" t="n"/>
      <c r="FS49" s="202" t="n"/>
      <c r="FT49" s="202" t="n"/>
      <c r="FU49" s="202" t="n"/>
      <c r="FV49" s="202" t="n"/>
      <c r="FW49" s="202" t="n"/>
      <c r="FX49" s="202" t="n"/>
      <c r="FY49" s="202" t="n"/>
      <c r="FZ49" s="202" t="n"/>
      <c r="GA49" s="202" t="n"/>
      <c r="GB49" s="202" t="n"/>
      <c r="GC49" s="202" t="n"/>
      <c r="GD49" s="202" t="n"/>
      <c r="GE49" s="202" t="n"/>
      <c r="GF49" s="202" t="n"/>
      <c r="GG49" s="202" t="n"/>
      <c r="GH49" s="202" t="n"/>
      <c r="GI49" s="202" t="n"/>
      <c r="GJ49" s="202" t="n"/>
      <c r="GK49" s="202" t="n"/>
      <c r="GL49" s="202" t="n"/>
      <c r="GM49" s="202" t="n"/>
      <c r="GN49" s="202" t="n"/>
      <c r="GO49" s="202" t="n"/>
      <c r="GP49" s="202" t="n"/>
      <c r="GQ49" s="202" t="n"/>
      <c r="GR49" s="202" t="n"/>
      <c r="GS49" s="202" t="n"/>
      <c r="GT49" s="202" t="n"/>
      <c r="GU49" s="202" t="n"/>
      <c r="GV49" s="202" t="n"/>
      <c r="GW49" s="202" t="n"/>
      <c r="GX49" s="202" t="n"/>
      <c r="GY49" s="202" t="n"/>
      <c r="GZ49" s="202" t="n"/>
      <c r="HA49" s="202" t="n"/>
      <c r="HB49" s="202" t="n"/>
      <c r="HC49" s="202" t="n"/>
      <c r="HD49" s="202" t="n"/>
      <c r="HE49" s="202" t="n"/>
      <c r="HF49" s="202" t="n"/>
      <c r="HG49" s="202" t="n"/>
      <c r="HH49" s="202" t="n"/>
      <c r="HI49" s="202" t="n"/>
      <c r="HJ49" s="202" t="n"/>
      <c r="HK49" s="202" t="n"/>
      <c r="HL49" s="202" t="n"/>
      <c r="HM49" s="202" t="n"/>
      <c r="HN49" s="202" t="n"/>
      <c r="HO49" s="202" t="n"/>
      <c r="HP49" s="202" t="n"/>
      <c r="HQ49" s="202" t="n"/>
      <c r="HR49" s="202" t="n"/>
      <c r="HS49" s="202" t="n"/>
      <c r="HT49" s="202" t="n"/>
      <c r="HU49" s="202" t="n"/>
      <c r="HV49" s="202" t="n"/>
      <c r="HW49" s="202" t="n"/>
      <c r="HX49" s="202" t="n"/>
      <c r="HY49" s="202" t="n"/>
      <c r="HZ49" s="202" t="n"/>
      <c r="IA49" s="202" t="n"/>
      <c r="IB49" s="202" t="n"/>
      <c r="IC49" s="202" t="n"/>
      <c r="ID49" s="202" t="n"/>
      <c r="IE49" s="202" t="n"/>
      <c r="IF49" s="202" t="n"/>
      <c r="IG49" s="202" t="n"/>
      <c r="IH49" s="202" t="n"/>
      <c r="II49" s="202" t="n"/>
      <c r="IJ49" s="202" t="n"/>
      <c r="IK49" s="202" t="n"/>
      <c r="IL49" s="202" t="n"/>
    </row>
    <row r="50" outlineLevel="1" ht="25" customFormat="1" customHeight="1" s="412">
      <c r="A50" s="239" t="inlineStr">
        <is>
          <t>3.9.1</t>
        </is>
      </c>
      <c r="B50" s="230" t="inlineStr">
        <is>
          <t>无障碍专项工程</t>
        </is>
      </c>
      <c r="C50" s="418" t="n"/>
      <c r="D50" s="232" t="inlineStr">
        <is>
          <t>㎡</t>
        </is>
      </c>
      <c r="E50" s="419" t="n"/>
      <c r="F50" s="382">
        <f>C50/E50*10000</f>
        <v/>
      </c>
      <c r="G50" s="234" t="inlineStr">
        <is>
          <t>区域建筑面积</t>
        </is>
      </c>
      <c r="H50" s="232" t="inlineStr">
        <is>
          <t>专业工程指标</t>
        </is>
      </c>
      <c r="I50" s="202" t="n"/>
      <c r="J50" s="202" t="n"/>
      <c r="K50" s="202" t="n"/>
      <c r="L50" s="202" t="n"/>
      <c r="M50" s="202" t="n"/>
      <c r="N50" s="202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  <c r="AH50" s="202" t="n"/>
      <c r="AI50" s="202" t="n"/>
      <c r="AJ50" s="202" t="n"/>
      <c r="AK50" s="202" t="n"/>
      <c r="AL50" s="202" t="n"/>
      <c r="AM50" s="202" t="n"/>
      <c r="AN50" s="202" t="n"/>
      <c r="AO50" s="202" t="n"/>
      <c r="AP50" s="202" t="n"/>
      <c r="AQ50" s="202" t="n"/>
      <c r="AR50" s="202" t="n"/>
      <c r="AS50" s="202" t="n"/>
      <c r="AT50" s="202" t="n"/>
      <c r="AU50" s="202" t="n"/>
      <c r="AV50" s="202" t="n"/>
      <c r="AW50" s="202" t="n"/>
      <c r="AX50" s="202" t="n"/>
      <c r="AY50" s="202" t="n"/>
      <c r="AZ50" s="202" t="n"/>
      <c r="BA50" s="202" t="n"/>
      <c r="BB50" s="202" t="n"/>
      <c r="BC50" s="202" t="n"/>
      <c r="BD50" s="202" t="n"/>
      <c r="BE50" s="202" t="n"/>
      <c r="BF50" s="202" t="n"/>
      <c r="BG50" s="202" t="n"/>
      <c r="BH50" s="202" t="n"/>
      <c r="BI50" s="202" t="n"/>
      <c r="BJ50" s="202" t="n"/>
      <c r="BK50" s="202" t="n"/>
      <c r="BL50" s="202" t="n"/>
      <c r="BM50" s="202" t="n"/>
      <c r="BN50" s="202" t="n"/>
      <c r="BO50" s="202" t="n"/>
      <c r="BP50" s="202" t="n"/>
      <c r="BQ50" s="202" t="n"/>
      <c r="BR50" s="202" t="n"/>
      <c r="BS50" s="202" t="n"/>
      <c r="BT50" s="202" t="n"/>
      <c r="BU50" s="202" t="n"/>
      <c r="BV50" s="202" t="n"/>
      <c r="BW50" s="202" t="n"/>
      <c r="BX50" s="202" t="n"/>
      <c r="BY50" s="202" t="n"/>
      <c r="BZ50" s="202" t="n"/>
      <c r="CA50" s="202" t="n"/>
      <c r="CB50" s="202" t="n"/>
      <c r="CC50" s="202" t="n"/>
      <c r="CD50" s="202" t="n"/>
      <c r="CE50" s="202" t="n"/>
      <c r="CF50" s="202" t="n"/>
      <c r="CG50" s="202" t="n"/>
      <c r="CH50" s="202" t="n"/>
      <c r="CI50" s="202" t="n"/>
      <c r="CJ50" s="202" t="n"/>
      <c r="CK50" s="202" t="n"/>
      <c r="CL50" s="202" t="n"/>
      <c r="CM50" s="202" t="n"/>
      <c r="CN50" s="202" t="n"/>
      <c r="CO50" s="202" t="n"/>
      <c r="CP50" s="202" t="n"/>
      <c r="CQ50" s="202" t="n"/>
      <c r="CR50" s="202" t="n"/>
      <c r="CS50" s="202" t="n"/>
      <c r="CT50" s="202" t="n"/>
      <c r="CU50" s="202" t="n"/>
      <c r="CV50" s="202" t="n"/>
      <c r="CW50" s="202" t="n"/>
      <c r="CX50" s="202" t="n"/>
      <c r="CY50" s="202" t="n"/>
      <c r="CZ50" s="202" t="n"/>
      <c r="DA50" s="202" t="n"/>
      <c r="DB50" s="202" t="n"/>
      <c r="DC50" s="202" t="n"/>
      <c r="DD50" s="202" t="n"/>
      <c r="DE50" s="202" t="n"/>
      <c r="DF50" s="202" t="n"/>
      <c r="DG50" s="202" t="n"/>
      <c r="DH50" s="202" t="n"/>
      <c r="DI50" s="202" t="n"/>
      <c r="DJ50" s="202" t="n"/>
      <c r="DK50" s="202" t="n"/>
      <c r="DL50" s="202" t="n"/>
      <c r="DM50" s="202" t="n"/>
      <c r="DN50" s="202" t="n"/>
      <c r="DO50" s="202" t="n"/>
      <c r="DP50" s="202" t="n"/>
      <c r="DQ50" s="202" t="n"/>
      <c r="DR50" s="202" t="n"/>
      <c r="DS50" s="202" t="n"/>
      <c r="DT50" s="202" t="n"/>
      <c r="DU50" s="202" t="n"/>
      <c r="DV50" s="202" t="n"/>
      <c r="DW50" s="202" t="n"/>
      <c r="DX50" s="202" t="n"/>
      <c r="DY50" s="202" t="n"/>
      <c r="DZ50" s="202" t="n"/>
      <c r="EA50" s="202" t="n"/>
      <c r="EB50" s="202" t="n"/>
      <c r="EC50" s="202" t="n"/>
      <c r="ED50" s="202" t="n"/>
      <c r="EE50" s="202" t="n"/>
      <c r="EF50" s="202" t="n"/>
      <c r="EG50" s="202" t="n"/>
      <c r="EH50" s="202" t="n"/>
      <c r="EI50" s="202" t="n"/>
      <c r="EJ50" s="202" t="n"/>
      <c r="EK50" s="202" t="n"/>
      <c r="EL50" s="202" t="n"/>
      <c r="EM50" s="202" t="n"/>
      <c r="EN50" s="202" t="n"/>
      <c r="EO50" s="202" t="n"/>
      <c r="EP50" s="202" t="n"/>
      <c r="EQ50" s="202" t="n"/>
      <c r="ER50" s="202" t="n"/>
      <c r="ES50" s="202" t="n"/>
      <c r="ET50" s="202" t="n"/>
      <c r="EU50" s="202" t="n"/>
      <c r="EV50" s="202" t="n"/>
      <c r="EW50" s="202" t="n"/>
      <c r="EX50" s="202" t="n"/>
      <c r="EY50" s="202" t="n"/>
      <c r="EZ50" s="202" t="n"/>
      <c r="FA50" s="202" t="n"/>
      <c r="FB50" s="202" t="n"/>
      <c r="FC50" s="202" t="n"/>
      <c r="FD50" s="202" t="n"/>
      <c r="FE50" s="202" t="n"/>
      <c r="FF50" s="202" t="n"/>
      <c r="FG50" s="202" t="n"/>
      <c r="FH50" s="202" t="n"/>
      <c r="FI50" s="202" t="n"/>
      <c r="FJ50" s="202" t="n"/>
      <c r="FK50" s="202" t="n"/>
      <c r="FL50" s="202" t="n"/>
      <c r="FM50" s="202" t="n"/>
      <c r="FN50" s="202" t="n"/>
      <c r="FO50" s="202" t="n"/>
      <c r="FP50" s="202" t="n"/>
      <c r="FQ50" s="202" t="n"/>
      <c r="FR50" s="202" t="n"/>
      <c r="FS50" s="202" t="n"/>
      <c r="FT50" s="202" t="n"/>
      <c r="FU50" s="202" t="n"/>
      <c r="FV50" s="202" t="n"/>
      <c r="FW50" s="202" t="n"/>
      <c r="FX50" s="202" t="n"/>
      <c r="FY50" s="202" t="n"/>
      <c r="FZ50" s="202" t="n"/>
      <c r="GA50" s="202" t="n"/>
      <c r="GB50" s="202" t="n"/>
      <c r="GC50" s="202" t="n"/>
      <c r="GD50" s="202" t="n"/>
      <c r="GE50" s="202" t="n"/>
      <c r="GF50" s="202" t="n"/>
      <c r="GG50" s="202" t="n"/>
      <c r="GH50" s="202" t="n"/>
      <c r="GI50" s="202" t="n"/>
      <c r="GJ50" s="202" t="n"/>
      <c r="GK50" s="202" t="n"/>
      <c r="GL50" s="202" t="n"/>
      <c r="GM50" s="202" t="n"/>
      <c r="GN50" s="202" t="n"/>
      <c r="GO50" s="202" t="n"/>
      <c r="GP50" s="202" t="n"/>
      <c r="GQ50" s="202" t="n"/>
      <c r="GR50" s="202" t="n"/>
      <c r="GS50" s="202" t="n"/>
      <c r="GT50" s="202" t="n"/>
      <c r="GU50" s="202" t="n"/>
      <c r="GV50" s="202" t="n"/>
      <c r="GW50" s="202" t="n"/>
      <c r="GX50" s="202" t="n"/>
      <c r="GY50" s="202" t="n"/>
      <c r="GZ50" s="202" t="n"/>
      <c r="HA50" s="202" t="n"/>
      <c r="HB50" s="202" t="n"/>
      <c r="HC50" s="202" t="n"/>
      <c r="HD50" s="202" t="n"/>
      <c r="HE50" s="202" t="n"/>
      <c r="HF50" s="202" t="n"/>
      <c r="HG50" s="202" t="n"/>
      <c r="HH50" s="202" t="n"/>
      <c r="HI50" s="202" t="n"/>
      <c r="HJ50" s="202" t="n"/>
      <c r="HK50" s="202" t="n"/>
      <c r="HL50" s="202" t="n"/>
      <c r="HM50" s="202" t="n"/>
      <c r="HN50" s="202" t="n"/>
      <c r="HO50" s="202" t="n"/>
      <c r="HP50" s="202" t="n"/>
      <c r="HQ50" s="202" t="n"/>
      <c r="HR50" s="202" t="n"/>
      <c r="HS50" s="202" t="n"/>
      <c r="HT50" s="202" t="n"/>
      <c r="HU50" s="202" t="n"/>
      <c r="HV50" s="202" t="n"/>
      <c r="HW50" s="202" t="n"/>
      <c r="HX50" s="202" t="n"/>
      <c r="HY50" s="202" t="n"/>
      <c r="HZ50" s="202" t="n"/>
      <c r="IA50" s="202" t="n"/>
      <c r="IB50" s="202" t="n"/>
      <c r="IC50" s="202" t="n"/>
      <c r="ID50" s="202" t="n"/>
      <c r="IE50" s="202" t="n"/>
      <c r="IF50" s="202" t="n"/>
      <c r="IG50" s="202" t="n"/>
      <c r="IH50" s="202" t="n"/>
      <c r="II50" s="202" t="n"/>
      <c r="IJ50" s="202" t="n"/>
      <c r="IK50" s="202" t="n"/>
      <c r="IL50" s="202" t="n"/>
    </row>
    <row r="51" outlineLevel="1" ht="25" customFormat="1" customHeight="1" s="412">
      <c r="A51" s="239" t="inlineStr">
        <is>
          <t>3.9.2</t>
        </is>
      </c>
      <c r="B51" s="230" t="inlineStr">
        <is>
          <t>文物保护专项工程</t>
        </is>
      </c>
      <c r="C51" s="418" t="n"/>
      <c r="D51" s="232" t="inlineStr">
        <is>
          <t>㎡</t>
        </is>
      </c>
      <c r="E51" s="419" t="n"/>
      <c r="F51" s="382">
        <f>C51/E51*10000</f>
        <v/>
      </c>
      <c r="G51" s="234" t="inlineStr">
        <is>
          <t>区域建筑面积</t>
        </is>
      </c>
      <c r="H51" s="232" t="inlineStr">
        <is>
          <t>专业工程指标</t>
        </is>
      </c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  <c r="AH51" s="202" t="n"/>
      <c r="AI51" s="202" t="n"/>
      <c r="AJ51" s="202" t="n"/>
      <c r="AK51" s="202" t="n"/>
      <c r="AL51" s="202" t="n"/>
      <c r="AM51" s="202" t="n"/>
      <c r="AN51" s="202" t="n"/>
      <c r="AO51" s="202" t="n"/>
      <c r="AP51" s="202" t="n"/>
      <c r="AQ51" s="202" t="n"/>
      <c r="AR51" s="202" t="n"/>
      <c r="AS51" s="202" t="n"/>
      <c r="AT51" s="202" t="n"/>
      <c r="AU51" s="202" t="n"/>
      <c r="AV51" s="202" t="n"/>
      <c r="AW51" s="202" t="n"/>
      <c r="AX51" s="202" t="n"/>
      <c r="AY51" s="202" t="n"/>
      <c r="AZ51" s="202" t="n"/>
      <c r="BA51" s="202" t="n"/>
      <c r="BB51" s="202" t="n"/>
      <c r="BC51" s="202" t="n"/>
      <c r="BD51" s="202" t="n"/>
      <c r="BE51" s="202" t="n"/>
      <c r="BF51" s="202" t="n"/>
      <c r="BG51" s="202" t="n"/>
      <c r="BH51" s="202" t="n"/>
      <c r="BI51" s="202" t="n"/>
      <c r="BJ51" s="202" t="n"/>
      <c r="BK51" s="202" t="n"/>
      <c r="BL51" s="202" t="n"/>
      <c r="BM51" s="202" t="n"/>
      <c r="BN51" s="202" t="n"/>
      <c r="BO51" s="202" t="n"/>
      <c r="BP51" s="202" t="n"/>
      <c r="BQ51" s="202" t="n"/>
      <c r="BR51" s="202" t="n"/>
      <c r="BS51" s="202" t="n"/>
      <c r="BT51" s="202" t="n"/>
      <c r="BU51" s="202" t="n"/>
      <c r="BV51" s="202" t="n"/>
      <c r="BW51" s="202" t="n"/>
      <c r="BX51" s="202" t="n"/>
      <c r="BY51" s="202" t="n"/>
      <c r="BZ51" s="202" t="n"/>
      <c r="CA51" s="202" t="n"/>
      <c r="CB51" s="202" t="n"/>
      <c r="CC51" s="202" t="n"/>
      <c r="CD51" s="202" t="n"/>
      <c r="CE51" s="202" t="n"/>
      <c r="CF51" s="202" t="n"/>
      <c r="CG51" s="202" t="n"/>
      <c r="CH51" s="202" t="n"/>
      <c r="CI51" s="202" t="n"/>
      <c r="CJ51" s="202" t="n"/>
      <c r="CK51" s="202" t="n"/>
      <c r="CL51" s="202" t="n"/>
      <c r="CM51" s="202" t="n"/>
      <c r="CN51" s="202" t="n"/>
      <c r="CO51" s="202" t="n"/>
      <c r="CP51" s="202" t="n"/>
      <c r="CQ51" s="202" t="n"/>
      <c r="CR51" s="202" t="n"/>
      <c r="CS51" s="202" t="n"/>
      <c r="CT51" s="202" t="n"/>
      <c r="CU51" s="202" t="n"/>
      <c r="CV51" s="202" t="n"/>
      <c r="CW51" s="202" t="n"/>
      <c r="CX51" s="202" t="n"/>
      <c r="CY51" s="202" t="n"/>
      <c r="CZ51" s="202" t="n"/>
      <c r="DA51" s="202" t="n"/>
      <c r="DB51" s="202" t="n"/>
      <c r="DC51" s="202" t="n"/>
      <c r="DD51" s="202" t="n"/>
      <c r="DE51" s="202" t="n"/>
      <c r="DF51" s="202" t="n"/>
      <c r="DG51" s="202" t="n"/>
      <c r="DH51" s="202" t="n"/>
      <c r="DI51" s="202" t="n"/>
      <c r="DJ51" s="202" t="n"/>
      <c r="DK51" s="202" t="n"/>
      <c r="DL51" s="202" t="n"/>
      <c r="DM51" s="202" t="n"/>
      <c r="DN51" s="202" t="n"/>
      <c r="DO51" s="202" t="n"/>
      <c r="DP51" s="202" t="n"/>
      <c r="DQ51" s="202" t="n"/>
      <c r="DR51" s="202" t="n"/>
      <c r="DS51" s="202" t="n"/>
      <c r="DT51" s="202" t="n"/>
      <c r="DU51" s="202" t="n"/>
      <c r="DV51" s="202" t="n"/>
      <c r="DW51" s="202" t="n"/>
      <c r="DX51" s="202" t="n"/>
      <c r="DY51" s="202" t="n"/>
      <c r="DZ51" s="202" t="n"/>
      <c r="EA51" s="202" t="n"/>
      <c r="EB51" s="202" t="n"/>
      <c r="EC51" s="202" t="n"/>
      <c r="ED51" s="202" t="n"/>
      <c r="EE51" s="202" t="n"/>
      <c r="EF51" s="202" t="n"/>
      <c r="EG51" s="202" t="n"/>
      <c r="EH51" s="202" t="n"/>
      <c r="EI51" s="202" t="n"/>
      <c r="EJ51" s="202" t="n"/>
      <c r="EK51" s="202" t="n"/>
      <c r="EL51" s="202" t="n"/>
      <c r="EM51" s="202" t="n"/>
      <c r="EN51" s="202" t="n"/>
      <c r="EO51" s="202" t="n"/>
      <c r="EP51" s="202" t="n"/>
      <c r="EQ51" s="202" t="n"/>
      <c r="ER51" s="202" t="n"/>
      <c r="ES51" s="202" t="n"/>
      <c r="ET51" s="202" t="n"/>
      <c r="EU51" s="202" t="n"/>
      <c r="EV51" s="202" t="n"/>
      <c r="EW51" s="202" t="n"/>
      <c r="EX51" s="202" t="n"/>
      <c r="EY51" s="202" t="n"/>
      <c r="EZ51" s="202" t="n"/>
      <c r="FA51" s="202" t="n"/>
      <c r="FB51" s="202" t="n"/>
      <c r="FC51" s="202" t="n"/>
      <c r="FD51" s="202" t="n"/>
      <c r="FE51" s="202" t="n"/>
      <c r="FF51" s="202" t="n"/>
      <c r="FG51" s="202" t="n"/>
      <c r="FH51" s="202" t="n"/>
      <c r="FI51" s="202" t="n"/>
      <c r="FJ51" s="202" t="n"/>
      <c r="FK51" s="202" t="n"/>
      <c r="FL51" s="202" t="n"/>
      <c r="FM51" s="202" t="n"/>
      <c r="FN51" s="202" t="n"/>
      <c r="FO51" s="202" t="n"/>
      <c r="FP51" s="202" t="n"/>
      <c r="FQ51" s="202" t="n"/>
      <c r="FR51" s="202" t="n"/>
      <c r="FS51" s="202" t="n"/>
      <c r="FT51" s="202" t="n"/>
      <c r="FU51" s="202" t="n"/>
      <c r="FV51" s="202" t="n"/>
      <c r="FW51" s="202" t="n"/>
      <c r="FX51" s="202" t="n"/>
      <c r="FY51" s="202" t="n"/>
      <c r="FZ51" s="202" t="n"/>
      <c r="GA51" s="202" t="n"/>
      <c r="GB51" s="202" t="n"/>
      <c r="GC51" s="202" t="n"/>
      <c r="GD51" s="202" t="n"/>
      <c r="GE51" s="202" t="n"/>
      <c r="GF51" s="202" t="n"/>
      <c r="GG51" s="202" t="n"/>
      <c r="GH51" s="202" t="n"/>
      <c r="GI51" s="202" t="n"/>
      <c r="GJ51" s="202" t="n"/>
      <c r="GK51" s="202" t="n"/>
      <c r="GL51" s="202" t="n"/>
      <c r="GM51" s="202" t="n"/>
      <c r="GN51" s="202" t="n"/>
      <c r="GO51" s="202" t="n"/>
      <c r="GP51" s="202" t="n"/>
      <c r="GQ51" s="202" t="n"/>
      <c r="GR51" s="202" t="n"/>
      <c r="GS51" s="202" t="n"/>
      <c r="GT51" s="202" t="n"/>
      <c r="GU51" s="202" t="n"/>
      <c r="GV51" s="202" t="n"/>
      <c r="GW51" s="202" t="n"/>
      <c r="GX51" s="202" t="n"/>
      <c r="GY51" s="202" t="n"/>
      <c r="GZ51" s="202" t="n"/>
      <c r="HA51" s="202" t="n"/>
      <c r="HB51" s="202" t="n"/>
      <c r="HC51" s="202" t="n"/>
      <c r="HD51" s="202" t="n"/>
      <c r="HE51" s="202" t="n"/>
      <c r="HF51" s="202" t="n"/>
      <c r="HG51" s="202" t="n"/>
      <c r="HH51" s="202" t="n"/>
      <c r="HI51" s="202" t="n"/>
      <c r="HJ51" s="202" t="n"/>
      <c r="HK51" s="202" t="n"/>
      <c r="HL51" s="202" t="n"/>
      <c r="HM51" s="202" t="n"/>
      <c r="HN51" s="202" t="n"/>
      <c r="HO51" s="202" t="n"/>
      <c r="HP51" s="202" t="n"/>
      <c r="HQ51" s="202" t="n"/>
      <c r="HR51" s="202" t="n"/>
      <c r="HS51" s="202" t="n"/>
      <c r="HT51" s="202" t="n"/>
      <c r="HU51" s="202" t="n"/>
      <c r="HV51" s="202" t="n"/>
      <c r="HW51" s="202" t="n"/>
      <c r="HX51" s="202" t="n"/>
      <c r="HY51" s="202" t="n"/>
      <c r="HZ51" s="202" t="n"/>
      <c r="IA51" s="202" t="n"/>
      <c r="IB51" s="202" t="n"/>
      <c r="IC51" s="202" t="n"/>
      <c r="ID51" s="202" t="n"/>
      <c r="IE51" s="202" t="n"/>
      <c r="IF51" s="202" t="n"/>
      <c r="IG51" s="202" t="n"/>
      <c r="IH51" s="202" t="n"/>
      <c r="II51" s="202" t="n"/>
      <c r="IJ51" s="202" t="n"/>
      <c r="IK51" s="202" t="n"/>
      <c r="IL51" s="202" t="n"/>
    </row>
    <row r="52" outlineLevel="1" ht="25" customFormat="1" customHeight="1" s="412">
      <c r="A52" s="239" t="inlineStr">
        <is>
          <t>3.9.3</t>
        </is>
      </c>
      <c r="B52" s="242" t="inlineStr">
        <is>
          <t>直升机停机坪专项工程</t>
        </is>
      </c>
      <c r="C52" s="418" t="n"/>
      <c r="D52" s="232" t="inlineStr">
        <is>
          <t>㎡</t>
        </is>
      </c>
      <c r="E52" s="419" t="n"/>
      <c r="F52" s="382">
        <f>C52/E52*10000</f>
        <v/>
      </c>
      <c r="G52" s="234" t="inlineStr">
        <is>
          <t>区域建筑面积</t>
        </is>
      </c>
      <c r="H52" s="232" t="inlineStr">
        <is>
          <t>专业工程指标</t>
        </is>
      </c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  <c r="AH52" s="202" t="n"/>
      <c r="AI52" s="202" t="n"/>
      <c r="AJ52" s="202" t="n"/>
      <c r="AK52" s="202" t="n"/>
      <c r="AL52" s="202" t="n"/>
      <c r="AM52" s="202" t="n"/>
      <c r="AN52" s="202" t="n"/>
      <c r="AO52" s="202" t="n"/>
      <c r="AP52" s="202" t="n"/>
      <c r="AQ52" s="202" t="n"/>
      <c r="AR52" s="202" t="n"/>
      <c r="AS52" s="202" t="n"/>
      <c r="AT52" s="202" t="n"/>
      <c r="AU52" s="202" t="n"/>
      <c r="AV52" s="202" t="n"/>
      <c r="AW52" s="202" t="n"/>
      <c r="AX52" s="202" t="n"/>
      <c r="AY52" s="202" t="n"/>
      <c r="AZ52" s="202" t="n"/>
      <c r="BA52" s="202" t="n"/>
      <c r="BB52" s="202" t="n"/>
      <c r="BC52" s="202" t="n"/>
      <c r="BD52" s="202" t="n"/>
      <c r="BE52" s="202" t="n"/>
      <c r="BF52" s="202" t="n"/>
      <c r="BG52" s="202" t="n"/>
      <c r="BH52" s="202" t="n"/>
      <c r="BI52" s="202" t="n"/>
      <c r="BJ52" s="202" t="n"/>
      <c r="BK52" s="202" t="n"/>
      <c r="BL52" s="202" t="n"/>
      <c r="BM52" s="202" t="n"/>
      <c r="BN52" s="202" t="n"/>
      <c r="BO52" s="202" t="n"/>
      <c r="BP52" s="202" t="n"/>
      <c r="BQ52" s="202" t="n"/>
      <c r="BR52" s="202" t="n"/>
      <c r="BS52" s="202" t="n"/>
      <c r="BT52" s="202" t="n"/>
      <c r="BU52" s="202" t="n"/>
      <c r="BV52" s="202" t="n"/>
      <c r="BW52" s="202" t="n"/>
      <c r="BX52" s="202" t="n"/>
      <c r="BY52" s="202" t="n"/>
      <c r="BZ52" s="202" t="n"/>
      <c r="CA52" s="202" t="n"/>
      <c r="CB52" s="202" t="n"/>
      <c r="CC52" s="202" t="n"/>
      <c r="CD52" s="202" t="n"/>
      <c r="CE52" s="202" t="n"/>
      <c r="CF52" s="202" t="n"/>
      <c r="CG52" s="202" t="n"/>
      <c r="CH52" s="202" t="n"/>
      <c r="CI52" s="202" t="n"/>
      <c r="CJ52" s="202" t="n"/>
      <c r="CK52" s="202" t="n"/>
      <c r="CL52" s="202" t="n"/>
      <c r="CM52" s="202" t="n"/>
      <c r="CN52" s="202" t="n"/>
      <c r="CO52" s="202" t="n"/>
      <c r="CP52" s="202" t="n"/>
      <c r="CQ52" s="202" t="n"/>
      <c r="CR52" s="202" t="n"/>
      <c r="CS52" s="202" t="n"/>
      <c r="CT52" s="202" t="n"/>
      <c r="CU52" s="202" t="n"/>
      <c r="CV52" s="202" t="n"/>
      <c r="CW52" s="202" t="n"/>
      <c r="CX52" s="202" t="n"/>
      <c r="CY52" s="202" t="n"/>
      <c r="CZ52" s="202" t="n"/>
      <c r="DA52" s="202" t="n"/>
      <c r="DB52" s="202" t="n"/>
      <c r="DC52" s="202" t="n"/>
      <c r="DD52" s="202" t="n"/>
      <c r="DE52" s="202" t="n"/>
      <c r="DF52" s="202" t="n"/>
      <c r="DG52" s="202" t="n"/>
      <c r="DH52" s="202" t="n"/>
      <c r="DI52" s="202" t="n"/>
      <c r="DJ52" s="202" t="n"/>
      <c r="DK52" s="202" t="n"/>
      <c r="DL52" s="202" t="n"/>
      <c r="DM52" s="202" t="n"/>
      <c r="DN52" s="202" t="n"/>
      <c r="DO52" s="202" t="n"/>
      <c r="DP52" s="202" t="n"/>
      <c r="DQ52" s="202" t="n"/>
      <c r="DR52" s="202" t="n"/>
      <c r="DS52" s="202" t="n"/>
      <c r="DT52" s="202" t="n"/>
      <c r="DU52" s="202" t="n"/>
      <c r="DV52" s="202" t="n"/>
      <c r="DW52" s="202" t="n"/>
      <c r="DX52" s="202" t="n"/>
      <c r="DY52" s="202" t="n"/>
      <c r="DZ52" s="202" t="n"/>
      <c r="EA52" s="202" t="n"/>
      <c r="EB52" s="202" t="n"/>
      <c r="EC52" s="202" t="n"/>
      <c r="ED52" s="202" t="n"/>
      <c r="EE52" s="202" t="n"/>
      <c r="EF52" s="202" t="n"/>
      <c r="EG52" s="202" t="n"/>
      <c r="EH52" s="202" t="n"/>
      <c r="EI52" s="202" t="n"/>
      <c r="EJ52" s="202" t="n"/>
      <c r="EK52" s="202" t="n"/>
      <c r="EL52" s="202" t="n"/>
      <c r="EM52" s="202" t="n"/>
      <c r="EN52" s="202" t="n"/>
      <c r="EO52" s="202" t="n"/>
      <c r="EP52" s="202" t="n"/>
      <c r="EQ52" s="202" t="n"/>
      <c r="ER52" s="202" t="n"/>
      <c r="ES52" s="202" t="n"/>
      <c r="ET52" s="202" t="n"/>
      <c r="EU52" s="202" t="n"/>
      <c r="EV52" s="202" t="n"/>
      <c r="EW52" s="202" t="n"/>
      <c r="EX52" s="202" t="n"/>
      <c r="EY52" s="202" t="n"/>
      <c r="EZ52" s="202" t="n"/>
      <c r="FA52" s="202" t="n"/>
      <c r="FB52" s="202" t="n"/>
      <c r="FC52" s="202" t="n"/>
      <c r="FD52" s="202" t="n"/>
      <c r="FE52" s="202" t="n"/>
      <c r="FF52" s="202" t="n"/>
      <c r="FG52" s="202" t="n"/>
      <c r="FH52" s="202" t="n"/>
      <c r="FI52" s="202" t="n"/>
      <c r="FJ52" s="202" t="n"/>
      <c r="FK52" s="202" t="n"/>
      <c r="FL52" s="202" t="n"/>
      <c r="FM52" s="202" t="n"/>
      <c r="FN52" s="202" t="n"/>
      <c r="FO52" s="202" t="n"/>
      <c r="FP52" s="202" t="n"/>
      <c r="FQ52" s="202" t="n"/>
      <c r="FR52" s="202" t="n"/>
      <c r="FS52" s="202" t="n"/>
      <c r="FT52" s="202" t="n"/>
      <c r="FU52" s="202" t="n"/>
      <c r="FV52" s="202" t="n"/>
      <c r="FW52" s="202" t="n"/>
      <c r="FX52" s="202" t="n"/>
      <c r="FY52" s="202" t="n"/>
      <c r="FZ52" s="202" t="n"/>
      <c r="GA52" s="202" t="n"/>
      <c r="GB52" s="202" t="n"/>
      <c r="GC52" s="202" t="n"/>
      <c r="GD52" s="202" t="n"/>
      <c r="GE52" s="202" t="n"/>
      <c r="GF52" s="202" t="n"/>
      <c r="GG52" s="202" t="n"/>
      <c r="GH52" s="202" t="n"/>
      <c r="GI52" s="202" t="n"/>
      <c r="GJ52" s="202" t="n"/>
      <c r="GK52" s="202" t="n"/>
      <c r="GL52" s="202" t="n"/>
      <c r="GM52" s="202" t="n"/>
      <c r="GN52" s="202" t="n"/>
      <c r="GO52" s="202" t="n"/>
      <c r="GP52" s="202" t="n"/>
      <c r="GQ52" s="202" t="n"/>
      <c r="GR52" s="202" t="n"/>
      <c r="GS52" s="202" t="n"/>
      <c r="GT52" s="202" t="n"/>
      <c r="GU52" s="202" t="n"/>
      <c r="GV52" s="202" t="n"/>
      <c r="GW52" s="202" t="n"/>
      <c r="GX52" s="202" t="n"/>
      <c r="GY52" s="202" t="n"/>
      <c r="GZ52" s="202" t="n"/>
      <c r="HA52" s="202" t="n"/>
      <c r="HB52" s="202" t="n"/>
      <c r="HC52" s="202" t="n"/>
      <c r="HD52" s="202" t="n"/>
      <c r="HE52" s="202" t="n"/>
      <c r="HF52" s="202" t="n"/>
      <c r="HG52" s="202" t="n"/>
      <c r="HH52" s="202" t="n"/>
      <c r="HI52" s="202" t="n"/>
      <c r="HJ52" s="202" t="n"/>
      <c r="HK52" s="202" t="n"/>
      <c r="HL52" s="202" t="n"/>
      <c r="HM52" s="202" t="n"/>
      <c r="HN52" s="202" t="n"/>
      <c r="HO52" s="202" t="n"/>
      <c r="HP52" s="202" t="n"/>
      <c r="HQ52" s="202" t="n"/>
      <c r="HR52" s="202" t="n"/>
      <c r="HS52" s="202" t="n"/>
      <c r="HT52" s="202" t="n"/>
      <c r="HU52" s="202" t="n"/>
      <c r="HV52" s="202" t="n"/>
      <c r="HW52" s="202" t="n"/>
      <c r="HX52" s="202" t="n"/>
      <c r="HY52" s="202" t="n"/>
      <c r="HZ52" s="202" t="n"/>
      <c r="IA52" s="202" t="n"/>
      <c r="IB52" s="202" t="n"/>
      <c r="IC52" s="202" t="n"/>
      <c r="ID52" s="202" t="n"/>
      <c r="IE52" s="202" t="n"/>
      <c r="IF52" s="202" t="n"/>
      <c r="IG52" s="202" t="n"/>
      <c r="IH52" s="202" t="n"/>
      <c r="II52" s="202" t="n"/>
      <c r="IJ52" s="202" t="n"/>
      <c r="IK52" s="202" t="n"/>
      <c r="IL52" s="202" t="n"/>
    </row>
    <row r="53" outlineLevel="1" ht="25" customFormat="1" customHeight="1" s="412">
      <c r="A53" s="239" t="inlineStr">
        <is>
          <t>3.9.4</t>
        </is>
      </c>
      <c r="B53" s="242" t="inlineStr">
        <is>
          <t>建筑垃圾资源化利用专项工程</t>
        </is>
      </c>
      <c r="C53" s="418" t="n"/>
      <c r="D53" s="232" t="inlineStr">
        <is>
          <t>t</t>
        </is>
      </c>
      <c r="E53" s="419" t="n"/>
      <c r="F53" s="382">
        <f>C53/E53*10000</f>
        <v/>
      </c>
      <c r="G53" s="234" t="inlineStr">
        <is>
          <t>建筑垃圾规模</t>
        </is>
      </c>
      <c r="H53" s="232" t="inlineStr">
        <is>
          <t>专业工程指标</t>
        </is>
      </c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  <c r="AH53" s="202" t="n"/>
      <c r="AI53" s="202" t="n"/>
      <c r="AJ53" s="202" t="n"/>
      <c r="AK53" s="202" t="n"/>
      <c r="AL53" s="202" t="n"/>
      <c r="AM53" s="202" t="n"/>
      <c r="AN53" s="202" t="n"/>
      <c r="AO53" s="202" t="n"/>
      <c r="AP53" s="202" t="n"/>
      <c r="AQ53" s="202" t="n"/>
      <c r="AR53" s="202" t="n"/>
      <c r="AS53" s="202" t="n"/>
      <c r="AT53" s="202" t="n"/>
      <c r="AU53" s="202" t="n"/>
      <c r="AV53" s="202" t="n"/>
      <c r="AW53" s="202" t="n"/>
      <c r="AX53" s="202" t="n"/>
      <c r="AY53" s="202" t="n"/>
      <c r="AZ53" s="202" t="n"/>
      <c r="BA53" s="202" t="n"/>
      <c r="BB53" s="202" t="n"/>
      <c r="BC53" s="202" t="n"/>
      <c r="BD53" s="202" t="n"/>
      <c r="BE53" s="202" t="n"/>
      <c r="BF53" s="202" t="n"/>
      <c r="BG53" s="202" t="n"/>
      <c r="BH53" s="202" t="n"/>
      <c r="BI53" s="202" t="n"/>
      <c r="BJ53" s="202" t="n"/>
      <c r="BK53" s="202" t="n"/>
      <c r="BL53" s="202" t="n"/>
      <c r="BM53" s="202" t="n"/>
      <c r="BN53" s="202" t="n"/>
      <c r="BO53" s="202" t="n"/>
      <c r="BP53" s="202" t="n"/>
      <c r="BQ53" s="202" t="n"/>
      <c r="BR53" s="202" t="n"/>
      <c r="BS53" s="202" t="n"/>
      <c r="BT53" s="202" t="n"/>
      <c r="BU53" s="202" t="n"/>
      <c r="BV53" s="202" t="n"/>
      <c r="BW53" s="202" t="n"/>
      <c r="BX53" s="202" t="n"/>
      <c r="BY53" s="202" t="n"/>
      <c r="BZ53" s="202" t="n"/>
      <c r="CA53" s="202" t="n"/>
      <c r="CB53" s="202" t="n"/>
      <c r="CC53" s="202" t="n"/>
      <c r="CD53" s="202" t="n"/>
      <c r="CE53" s="202" t="n"/>
      <c r="CF53" s="202" t="n"/>
      <c r="CG53" s="202" t="n"/>
      <c r="CH53" s="202" t="n"/>
      <c r="CI53" s="202" t="n"/>
      <c r="CJ53" s="202" t="n"/>
      <c r="CK53" s="202" t="n"/>
      <c r="CL53" s="202" t="n"/>
      <c r="CM53" s="202" t="n"/>
      <c r="CN53" s="202" t="n"/>
      <c r="CO53" s="202" t="n"/>
      <c r="CP53" s="202" t="n"/>
      <c r="CQ53" s="202" t="n"/>
      <c r="CR53" s="202" t="n"/>
      <c r="CS53" s="202" t="n"/>
      <c r="CT53" s="202" t="n"/>
      <c r="CU53" s="202" t="n"/>
      <c r="CV53" s="202" t="n"/>
      <c r="CW53" s="202" t="n"/>
      <c r="CX53" s="202" t="n"/>
      <c r="CY53" s="202" t="n"/>
      <c r="CZ53" s="202" t="n"/>
      <c r="DA53" s="202" t="n"/>
      <c r="DB53" s="202" t="n"/>
      <c r="DC53" s="202" t="n"/>
      <c r="DD53" s="202" t="n"/>
      <c r="DE53" s="202" t="n"/>
      <c r="DF53" s="202" t="n"/>
      <c r="DG53" s="202" t="n"/>
      <c r="DH53" s="202" t="n"/>
      <c r="DI53" s="202" t="n"/>
      <c r="DJ53" s="202" t="n"/>
      <c r="DK53" s="202" t="n"/>
      <c r="DL53" s="202" t="n"/>
      <c r="DM53" s="202" t="n"/>
      <c r="DN53" s="202" t="n"/>
      <c r="DO53" s="202" t="n"/>
      <c r="DP53" s="202" t="n"/>
      <c r="DQ53" s="202" t="n"/>
      <c r="DR53" s="202" t="n"/>
      <c r="DS53" s="202" t="n"/>
      <c r="DT53" s="202" t="n"/>
      <c r="DU53" s="202" t="n"/>
      <c r="DV53" s="202" t="n"/>
      <c r="DW53" s="202" t="n"/>
      <c r="DX53" s="202" t="n"/>
      <c r="DY53" s="202" t="n"/>
      <c r="DZ53" s="202" t="n"/>
      <c r="EA53" s="202" t="n"/>
      <c r="EB53" s="202" t="n"/>
      <c r="EC53" s="202" t="n"/>
      <c r="ED53" s="202" t="n"/>
      <c r="EE53" s="202" t="n"/>
      <c r="EF53" s="202" t="n"/>
      <c r="EG53" s="202" t="n"/>
      <c r="EH53" s="202" t="n"/>
      <c r="EI53" s="202" t="n"/>
      <c r="EJ53" s="202" t="n"/>
      <c r="EK53" s="202" t="n"/>
      <c r="EL53" s="202" t="n"/>
      <c r="EM53" s="202" t="n"/>
      <c r="EN53" s="202" t="n"/>
      <c r="EO53" s="202" t="n"/>
      <c r="EP53" s="202" t="n"/>
      <c r="EQ53" s="202" t="n"/>
      <c r="ER53" s="202" t="n"/>
      <c r="ES53" s="202" t="n"/>
      <c r="ET53" s="202" t="n"/>
      <c r="EU53" s="202" t="n"/>
      <c r="EV53" s="202" t="n"/>
      <c r="EW53" s="202" t="n"/>
      <c r="EX53" s="202" t="n"/>
      <c r="EY53" s="202" t="n"/>
      <c r="EZ53" s="202" t="n"/>
      <c r="FA53" s="202" t="n"/>
      <c r="FB53" s="202" t="n"/>
      <c r="FC53" s="202" t="n"/>
      <c r="FD53" s="202" t="n"/>
      <c r="FE53" s="202" t="n"/>
      <c r="FF53" s="202" t="n"/>
      <c r="FG53" s="202" t="n"/>
      <c r="FH53" s="202" t="n"/>
      <c r="FI53" s="202" t="n"/>
      <c r="FJ53" s="202" t="n"/>
      <c r="FK53" s="202" t="n"/>
      <c r="FL53" s="202" t="n"/>
      <c r="FM53" s="202" t="n"/>
      <c r="FN53" s="202" t="n"/>
      <c r="FO53" s="202" t="n"/>
      <c r="FP53" s="202" t="n"/>
      <c r="FQ53" s="202" t="n"/>
      <c r="FR53" s="202" t="n"/>
      <c r="FS53" s="202" t="n"/>
      <c r="FT53" s="202" t="n"/>
      <c r="FU53" s="202" t="n"/>
      <c r="FV53" s="202" t="n"/>
      <c r="FW53" s="202" t="n"/>
      <c r="FX53" s="202" t="n"/>
      <c r="FY53" s="202" t="n"/>
      <c r="FZ53" s="202" t="n"/>
      <c r="GA53" s="202" t="n"/>
      <c r="GB53" s="202" t="n"/>
      <c r="GC53" s="202" t="n"/>
      <c r="GD53" s="202" t="n"/>
      <c r="GE53" s="202" t="n"/>
      <c r="GF53" s="202" t="n"/>
      <c r="GG53" s="202" t="n"/>
      <c r="GH53" s="202" t="n"/>
      <c r="GI53" s="202" t="n"/>
      <c r="GJ53" s="202" t="n"/>
      <c r="GK53" s="202" t="n"/>
      <c r="GL53" s="202" t="n"/>
      <c r="GM53" s="202" t="n"/>
      <c r="GN53" s="202" t="n"/>
      <c r="GO53" s="202" t="n"/>
      <c r="GP53" s="202" t="n"/>
      <c r="GQ53" s="202" t="n"/>
      <c r="GR53" s="202" t="n"/>
      <c r="GS53" s="202" t="n"/>
      <c r="GT53" s="202" t="n"/>
      <c r="GU53" s="202" t="n"/>
      <c r="GV53" s="202" t="n"/>
      <c r="GW53" s="202" t="n"/>
      <c r="GX53" s="202" t="n"/>
      <c r="GY53" s="202" t="n"/>
      <c r="GZ53" s="202" t="n"/>
      <c r="HA53" s="202" t="n"/>
      <c r="HB53" s="202" t="n"/>
      <c r="HC53" s="202" t="n"/>
      <c r="HD53" s="202" t="n"/>
      <c r="HE53" s="202" t="n"/>
      <c r="HF53" s="202" t="n"/>
      <c r="HG53" s="202" t="n"/>
      <c r="HH53" s="202" t="n"/>
      <c r="HI53" s="202" t="n"/>
      <c r="HJ53" s="202" t="n"/>
      <c r="HK53" s="202" t="n"/>
      <c r="HL53" s="202" t="n"/>
      <c r="HM53" s="202" t="n"/>
      <c r="HN53" s="202" t="n"/>
      <c r="HO53" s="202" t="n"/>
      <c r="HP53" s="202" t="n"/>
      <c r="HQ53" s="202" t="n"/>
      <c r="HR53" s="202" t="n"/>
      <c r="HS53" s="202" t="n"/>
      <c r="HT53" s="202" t="n"/>
      <c r="HU53" s="202" t="n"/>
      <c r="HV53" s="202" t="n"/>
      <c r="HW53" s="202" t="n"/>
      <c r="HX53" s="202" t="n"/>
      <c r="HY53" s="202" t="n"/>
      <c r="HZ53" s="202" t="n"/>
      <c r="IA53" s="202" t="n"/>
      <c r="IB53" s="202" t="n"/>
      <c r="IC53" s="202" t="n"/>
      <c r="ID53" s="202" t="n"/>
      <c r="IE53" s="202" t="n"/>
      <c r="IF53" s="202" t="n"/>
      <c r="IG53" s="202" t="n"/>
      <c r="IH53" s="202" t="n"/>
      <c r="II53" s="202" t="n"/>
      <c r="IJ53" s="202" t="n"/>
      <c r="IK53" s="202" t="n"/>
      <c r="IL53" s="202" t="n"/>
    </row>
  </sheetData>
  <mergeCells count="6">
    <mergeCell ref="C3:C4"/>
    <mergeCell ref="A2:H2"/>
    <mergeCell ref="A3:A4"/>
    <mergeCell ref="B3:B4"/>
    <mergeCell ref="A1:H1"/>
    <mergeCell ref="D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32"/>
  <sheetViews>
    <sheetView zoomScale="115" zoomScaleNormal="115" workbookViewId="0">
      <pane ySplit="4" topLeftCell="A5" activePane="bottomLeft" state="frozen"/>
      <selection activeCell="A1" sqref="A1"/>
      <selection pane="bottomLeft" activeCell="A1" sqref="A1:H1"/>
    </sheetView>
  </sheetViews>
  <sheetFormatPr baseColWidth="8" defaultColWidth="9" defaultRowHeight="13.5"/>
  <cols>
    <col width="6" customWidth="1" style="173" min="1" max="1"/>
    <col width="25.625" customWidth="1" style="118" min="2" max="2"/>
    <col width="14.625" customWidth="1" style="118" min="3" max="3"/>
    <col width="7.375" customWidth="1" style="118" min="4" max="4"/>
    <col width="7.25" customWidth="1" style="118" min="5" max="5"/>
    <col width="9.33333333333333" customWidth="1" style="120" min="6" max="6"/>
    <col width="11.75" customWidth="1" style="118" min="7" max="7"/>
    <col width="8.35" customWidth="1" style="118" min="8" max="8"/>
    <col width="9" customWidth="1" style="118" min="9" max="242"/>
    <col width="9" customWidth="1" style="368" min="243" max="16384"/>
  </cols>
  <sheetData>
    <row r="1" ht="32.1" customFormat="1" customHeight="1" s="118">
      <c r="A1" s="174" t="inlineStr">
        <is>
          <t>室外及配套工程费专业分析表</t>
        </is>
      </c>
    </row>
    <row r="2" ht="26.1" customFormat="1" customHeight="1" s="118">
      <c r="A2" s="176" t="inlineStr">
        <is>
          <t>项目名称：{{PROJECT_NAME}}</t>
        </is>
      </c>
      <c r="B2" s="369" t="n"/>
      <c r="C2" s="369" t="n"/>
      <c r="D2" s="369" t="n"/>
      <c r="E2" s="369" t="n"/>
      <c r="F2" s="369" t="n"/>
      <c r="G2" s="369" t="n"/>
      <c r="H2" s="369" t="n"/>
    </row>
    <row r="3" ht="20.1" customFormat="1" customHeight="1" s="118">
      <c r="A3" s="178" t="inlineStr">
        <is>
          <t>序号</t>
        </is>
      </c>
      <c r="B3" s="178" t="inlineStr">
        <is>
          <t>工程或费用名称</t>
        </is>
      </c>
      <c r="C3" s="178" t="inlineStr">
        <is>
          <t>费用（万元）</t>
        </is>
      </c>
      <c r="D3" s="142" t="inlineStr">
        <is>
          <t>技术经济指标</t>
        </is>
      </c>
      <c r="E3" s="370" t="n"/>
      <c r="F3" s="370" t="n"/>
      <c r="G3" s="370" t="n"/>
      <c r="H3" s="371" t="n"/>
    </row>
    <row r="4" ht="33.95" customFormat="1" customHeight="1" s="118">
      <c r="A4" s="372" t="n"/>
      <c r="B4" s="372" t="n"/>
      <c r="C4" s="372" t="n"/>
      <c r="D4" s="142" t="inlineStr">
        <is>
          <t>单位
（x）</t>
        </is>
      </c>
      <c r="E4" s="142" t="inlineStr">
        <is>
          <t>数量</t>
        </is>
      </c>
      <c r="F4" s="178" t="inlineStr">
        <is>
          <t xml:space="preserve">单方指标
（元/x）           </t>
        </is>
      </c>
      <c r="G4" s="178" t="inlineStr">
        <is>
          <t>计算基数</t>
        </is>
      </c>
      <c r="H4" s="178" t="inlineStr">
        <is>
          <t>指标说明</t>
        </is>
      </c>
    </row>
    <row r="5" ht="24.95" customFormat="1" customHeight="1" s="118">
      <c r="A5" s="181" t="n">
        <v>5</v>
      </c>
      <c r="B5" s="422" t="inlineStr">
        <is>
          <t>室外及配套工程费</t>
        </is>
      </c>
      <c r="C5" s="402">
        <f>C6+C10+C15+C21+C27+C28+C29+C30+C31</f>
        <v/>
      </c>
      <c r="D5" s="184" t="inlineStr">
        <is>
          <t>㎡</t>
        </is>
      </c>
      <c r="E5" s="423">
        <f>经济技术指标!$D$5</f>
        <v/>
      </c>
      <c r="F5" s="423">
        <f>C5/E5*10000</f>
        <v/>
      </c>
      <c r="G5" s="184" t="inlineStr">
        <is>
          <t>总建筑面积</t>
        </is>
      </c>
      <c r="H5" s="184" t="inlineStr">
        <is>
          <t>单项工程指标</t>
        </is>
      </c>
    </row>
    <row r="6" collapsed="1" ht="24.95" customFormat="1" customHeight="1" s="118">
      <c r="A6" s="424" t="n">
        <v>5.1</v>
      </c>
      <c r="B6" s="187" t="inlineStr">
        <is>
          <t>室外园林工程</t>
        </is>
      </c>
      <c r="C6" s="404">
        <f>SUM(C7:C8)</f>
        <v/>
      </c>
      <c r="D6" s="189" t="inlineStr">
        <is>
          <t>㎡</t>
        </is>
      </c>
      <c r="E6" s="425">
        <f>经济技术指标!$D$17</f>
        <v/>
      </c>
      <c r="F6" s="425">
        <f>C6/E6*10000</f>
        <v/>
      </c>
      <c r="G6" s="189" t="inlineStr">
        <is>
          <t>室外面积</t>
        </is>
      </c>
      <c r="H6" s="189" t="inlineStr">
        <is>
          <t>单位工程指标</t>
        </is>
      </c>
    </row>
    <row r="7" hidden="1" outlineLevel="1" ht="24.95" customFormat="1" customHeight="1" s="118">
      <c r="A7" s="426" t="inlineStr">
        <is>
          <t>5.1.1</t>
        </is>
      </c>
      <c r="B7" s="192" t="inlineStr">
        <is>
          <t>室外景观工程</t>
        </is>
      </c>
      <c r="C7" s="169" t="n"/>
      <c r="D7" s="170" t="inlineStr">
        <is>
          <t>㎡</t>
        </is>
      </c>
      <c r="E7" s="427" t="n"/>
      <c r="F7" s="382">
        <f>C7/E7*10000</f>
        <v/>
      </c>
      <c r="G7" s="172" t="inlineStr">
        <is>
          <t>室外景观面积</t>
        </is>
      </c>
      <c r="H7" s="170" t="inlineStr">
        <is>
          <t>专业工程指标</t>
        </is>
      </c>
    </row>
    <row r="8" hidden="1" outlineLevel="1" ht="24.95" customFormat="1" customHeight="1" s="118">
      <c r="A8" s="426" t="inlineStr">
        <is>
          <t>5.1.2</t>
        </is>
      </c>
      <c r="B8" s="192" t="inlineStr">
        <is>
          <t>室外绿化工程</t>
        </is>
      </c>
      <c r="C8" s="169" t="n"/>
      <c r="D8" s="170" t="inlineStr">
        <is>
          <t>㎡</t>
        </is>
      </c>
      <c r="E8" s="427" t="n"/>
      <c r="F8" s="382">
        <f>C8/E8*10000</f>
        <v/>
      </c>
      <c r="G8" s="172" t="inlineStr">
        <is>
          <t>绿地面积</t>
        </is>
      </c>
      <c r="H8" s="170" t="inlineStr">
        <is>
          <t>专业工程指标</t>
        </is>
      </c>
    </row>
    <row r="9" hidden="1" outlineLevel="1" ht="24.95" customFormat="1" customHeight="1" s="118">
      <c r="A9" s="426" t="n"/>
      <c r="B9" s="168" t="inlineStr">
        <is>
          <t>……</t>
        </is>
      </c>
      <c r="C9" s="169" t="n"/>
      <c r="D9" s="170" t="n"/>
      <c r="E9" s="428" t="n"/>
      <c r="F9" s="427" t="n"/>
      <c r="G9" s="172" t="n"/>
      <c r="H9" s="170" t="n"/>
    </row>
    <row r="10" collapsed="1" ht="24.95" customFormat="1" customHeight="1" s="118">
      <c r="A10" s="424" t="n">
        <v>5.2</v>
      </c>
      <c r="B10" s="187" t="inlineStr">
        <is>
          <t>室外市政工程</t>
        </is>
      </c>
      <c r="C10" s="404">
        <f>SUM(C11:C13)</f>
        <v/>
      </c>
      <c r="D10" s="189" t="inlineStr">
        <is>
          <t>㎡</t>
        </is>
      </c>
      <c r="E10" s="425">
        <f>经济技术指标!$D$17</f>
        <v/>
      </c>
      <c r="F10" s="425">
        <f>C10/E10*10000</f>
        <v/>
      </c>
      <c r="G10" s="189" t="inlineStr">
        <is>
          <t>室外面积</t>
        </is>
      </c>
      <c r="H10" s="189" t="inlineStr">
        <is>
          <t>单位工程指标</t>
        </is>
      </c>
    </row>
    <row r="11" hidden="1" outlineLevel="1" ht="24.95" customFormat="1" customHeight="1" s="118">
      <c r="A11" s="426" t="inlineStr">
        <is>
          <t>5.2.1</t>
        </is>
      </c>
      <c r="B11" s="192" t="inlineStr">
        <is>
          <t>室外市政道路工程</t>
        </is>
      </c>
      <c r="C11" s="169" t="n"/>
      <c r="D11" s="170" t="inlineStr">
        <is>
          <t>㎡</t>
        </is>
      </c>
      <c r="E11" s="427" t="n"/>
      <c r="F11" s="382">
        <f>C11/E11*10000</f>
        <v/>
      </c>
      <c r="G11" s="172" t="inlineStr">
        <is>
          <t>道路面积</t>
        </is>
      </c>
      <c r="H11" s="170" t="inlineStr">
        <is>
          <t>专业工程指标</t>
        </is>
      </c>
    </row>
    <row r="12" hidden="1" outlineLevel="1" ht="24.95" customFormat="1" customHeight="1" s="118">
      <c r="A12" s="426" t="inlineStr">
        <is>
          <t>5.2.2</t>
        </is>
      </c>
      <c r="B12" s="192" t="inlineStr">
        <is>
          <t>室外排水工程</t>
        </is>
      </c>
      <c r="C12" s="169" t="n"/>
      <c r="D12" s="170" t="inlineStr">
        <is>
          <t>㎡</t>
        </is>
      </c>
      <c r="E12" s="429">
        <f>经济技术指标!$D$17</f>
        <v/>
      </c>
      <c r="F12" s="382">
        <f>C12/E12*10000</f>
        <v/>
      </c>
      <c r="G12" s="172" t="inlineStr">
        <is>
          <t>室外面积</t>
        </is>
      </c>
      <c r="H12" s="170" t="inlineStr">
        <is>
          <t>专业工程指标</t>
        </is>
      </c>
    </row>
    <row r="13" hidden="1" outlineLevel="1" ht="24.95" customFormat="1" customHeight="1" s="118">
      <c r="A13" s="426" t="inlineStr">
        <is>
          <t>5.2.3</t>
        </is>
      </c>
      <c r="B13" s="192" t="inlineStr">
        <is>
          <t>海棉城市工程</t>
        </is>
      </c>
      <c r="C13" s="169" t="n"/>
      <c r="D13" s="170" t="inlineStr">
        <is>
          <t>㎡</t>
        </is>
      </c>
      <c r="E13" s="429">
        <f>经济技术指标!$D$17</f>
        <v/>
      </c>
      <c r="F13" s="382">
        <f>C13/E13*10000</f>
        <v/>
      </c>
      <c r="G13" s="172" t="inlineStr">
        <is>
          <t>室外面积</t>
        </is>
      </c>
      <c r="H13" s="170" t="inlineStr">
        <is>
          <t>专业工程指标</t>
        </is>
      </c>
    </row>
    <row r="14" hidden="1" outlineLevel="1" ht="24.95" customFormat="1" customHeight="1" s="118">
      <c r="A14" s="426" t="n"/>
      <c r="B14" s="168" t="inlineStr">
        <is>
          <t>……</t>
        </is>
      </c>
      <c r="C14" s="169" t="n"/>
      <c r="D14" s="170" t="n"/>
      <c r="E14" s="427" t="n"/>
      <c r="F14" s="427" t="n"/>
      <c r="G14" s="172" t="n"/>
      <c r="H14" s="170" t="n"/>
    </row>
    <row r="15" collapsed="1" ht="24.95" customFormat="1" customHeight="1" s="118">
      <c r="A15" s="424" t="n">
        <v>5.3</v>
      </c>
      <c r="B15" s="187" t="inlineStr">
        <is>
          <t>室外附属工程</t>
        </is>
      </c>
      <c r="C15" s="404">
        <f>SUM(C16:C19)</f>
        <v/>
      </c>
      <c r="D15" s="189" t="inlineStr">
        <is>
          <t>㎡</t>
        </is>
      </c>
      <c r="E15" s="425">
        <f>经济技术指标!$D$17</f>
        <v/>
      </c>
      <c r="F15" s="425">
        <f>C15/E15*10000</f>
        <v/>
      </c>
      <c r="G15" s="189" t="inlineStr">
        <is>
          <t>室外面积</t>
        </is>
      </c>
      <c r="H15" s="189" t="inlineStr">
        <is>
          <t>单位工程指标</t>
        </is>
      </c>
    </row>
    <row r="16" hidden="1" outlineLevel="1" ht="24.95" customFormat="1" customHeight="1" s="118">
      <c r="A16" s="426" t="inlineStr">
        <is>
          <t>5.3.1</t>
        </is>
      </c>
      <c r="B16" s="73" t="inlineStr">
        <is>
          <t>围墙</t>
        </is>
      </c>
      <c r="C16" s="169" t="n"/>
      <c r="D16" s="170" t="inlineStr">
        <is>
          <t>㎡</t>
        </is>
      </c>
      <c r="E16" s="429">
        <f>经济技术指标!$D$17</f>
        <v/>
      </c>
      <c r="F16" s="382">
        <f>C16/E16*10000</f>
        <v/>
      </c>
      <c r="G16" s="172" t="inlineStr">
        <is>
          <t>室外面积</t>
        </is>
      </c>
      <c r="H16" s="170" t="inlineStr">
        <is>
          <t>专业工程指标</t>
        </is>
      </c>
    </row>
    <row r="17" hidden="1" outlineLevel="1" ht="24.95" customFormat="1" customHeight="1" s="118">
      <c r="A17" s="426" t="inlineStr">
        <is>
          <t>5.3.2</t>
        </is>
      </c>
      <c r="B17" s="39" t="inlineStr">
        <is>
          <t>挡土墙</t>
        </is>
      </c>
      <c r="C17" s="169" t="n"/>
      <c r="D17" s="170" t="inlineStr">
        <is>
          <t>㎡</t>
        </is>
      </c>
      <c r="E17" s="429">
        <f>经济技术指标!$D$17</f>
        <v/>
      </c>
      <c r="F17" s="382">
        <f>C17/E17*10000</f>
        <v/>
      </c>
      <c r="G17" s="172" t="inlineStr">
        <is>
          <t>室外面积</t>
        </is>
      </c>
      <c r="H17" s="170" t="inlineStr">
        <is>
          <t>专业工程指标</t>
        </is>
      </c>
    </row>
    <row r="18" hidden="1" outlineLevel="1" ht="24.95" customFormat="1" customHeight="1" s="118">
      <c r="A18" s="426" t="inlineStr">
        <is>
          <t>5.3.3</t>
        </is>
      </c>
      <c r="B18" s="111" t="inlineStr">
        <is>
          <t>墙脚护坡、明沟、坡道、台阶</t>
        </is>
      </c>
      <c r="C18" s="169" t="n"/>
      <c r="D18" s="170" t="inlineStr">
        <is>
          <t>㎡</t>
        </is>
      </c>
      <c r="E18" s="429">
        <f>经济技术指标!$D$17</f>
        <v/>
      </c>
      <c r="F18" s="382">
        <f>C18/E18*10000</f>
        <v/>
      </c>
      <c r="G18" s="172" t="inlineStr">
        <is>
          <t>室外面积</t>
        </is>
      </c>
      <c r="H18" s="170" t="inlineStr">
        <is>
          <t>专业工程指标</t>
        </is>
      </c>
    </row>
    <row r="19" hidden="1" outlineLevel="1" ht="24.95" customFormat="1" customHeight="1" s="118">
      <c r="A19" s="426" t="inlineStr">
        <is>
          <t>5.3.4</t>
        </is>
      </c>
      <c r="B19" s="39" t="inlineStr">
        <is>
          <t>化粪池</t>
        </is>
      </c>
      <c r="C19" s="169" t="n"/>
      <c r="D19" s="170" t="inlineStr">
        <is>
          <t>㎡</t>
        </is>
      </c>
      <c r="E19" s="429">
        <f>经济技术指标!$D$17</f>
        <v/>
      </c>
      <c r="F19" s="382">
        <f>C19/E19*10000</f>
        <v/>
      </c>
      <c r="G19" s="172" t="inlineStr">
        <is>
          <t>室外面积</t>
        </is>
      </c>
      <c r="H19" s="170" t="inlineStr">
        <is>
          <t>专业工程指标</t>
        </is>
      </c>
    </row>
    <row r="20" hidden="1" outlineLevel="1" ht="24.95" customFormat="1" customHeight="1" s="118">
      <c r="A20" s="426" t="n"/>
      <c r="B20" s="168" t="inlineStr">
        <is>
          <t>……</t>
        </is>
      </c>
      <c r="C20" s="169" t="n"/>
      <c r="D20" s="170" t="n"/>
      <c r="E20" s="427" t="n"/>
      <c r="F20" s="427" t="n"/>
      <c r="G20" s="172" t="n"/>
      <c r="H20" s="170" t="n"/>
    </row>
    <row r="21" collapsed="1" ht="24.95" customFormat="1" customHeight="1" s="118">
      <c r="A21" s="424" t="n">
        <v>5.4</v>
      </c>
      <c r="B21" s="196" t="inlineStr">
        <is>
          <t>室外安装工程</t>
        </is>
      </c>
      <c r="C21" s="404">
        <f>SUM(C22:C25)</f>
        <v/>
      </c>
      <c r="D21" s="430" t="inlineStr">
        <is>
          <t>㎡</t>
        </is>
      </c>
      <c r="E21" s="425">
        <f>经济技术指标!$D$17</f>
        <v/>
      </c>
      <c r="F21" s="425">
        <f>C21/E21*10000</f>
        <v/>
      </c>
      <c r="G21" s="189" t="inlineStr">
        <is>
          <t>室外面积</t>
        </is>
      </c>
      <c r="H21" s="189" t="inlineStr">
        <is>
          <t>单位工程指标</t>
        </is>
      </c>
    </row>
    <row r="22" hidden="1" outlineLevel="1" ht="24.95" customFormat="1" customHeight="1" s="118">
      <c r="A22" s="426" t="inlineStr">
        <is>
          <t>5.4.1</t>
        </is>
      </c>
      <c r="B22" s="192" t="inlineStr">
        <is>
          <t>室外电气工程</t>
        </is>
      </c>
      <c r="C22" s="169" t="n"/>
      <c r="D22" s="170" t="inlineStr">
        <is>
          <t>㎡</t>
        </is>
      </c>
      <c r="E22" s="429">
        <f>经济技术指标!$D$17</f>
        <v/>
      </c>
      <c r="F22" s="382">
        <f>C22/E22*10000</f>
        <v/>
      </c>
      <c r="G22" s="172" t="inlineStr">
        <is>
          <t>室外面积</t>
        </is>
      </c>
      <c r="H22" s="170" t="inlineStr">
        <is>
          <t>专业工程指标</t>
        </is>
      </c>
    </row>
    <row r="23" hidden="1" outlineLevel="1" ht="24.95" customFormat="1" customHeight="1" s="118">
      <c r="A23" s="426" t="inlineStr">
        <is>
          <t>5.4.2</t>
        </is>
      </c>
      <c r="B23" s="192" t="inlineStr">
        <is>
          <t>室外给水工程</t>
        </is>
      </c>
      <c r="C23" s="169" t="n"/>
      <c r="D23" s="170" t="inlineStr">
        <is>
          <t>㎡</t>
        </is>
      </c>
      <c r="E23" s="429">
        <f>经济技术指标!$D$17</f>
        <v/>
      </c>
      <c r="F23" s="382">
        <f>C23/E23*10000</f>
        <v/>
      </c>
      <c r="G23" s="172" t="inlineStr">
        <is>
          <t>室外面积</t>
        </is>
      </c>
      <c r="H23" s="170" t="inlineStr">
        <is>
          <t>专业工程指标</t>
        </is>
      </c>
    </row>
    <row r="24" hidden="1" outlineLevel="1" ht="24.95" customFormat="1" customHeight="1" s="118">
      <c r="A24" s="426" t="inlineStr">
        <is>
          <t>5.4.3</t>
        </is>
      </c>
      <c r="B24" s="198" t="inlineStr">
        <is>
          <t>室外消防工程</t>
        </is>
      </c>
      <c r="C24" s="169" t="n"/>
      <c r="D24" s="170" t="inlineStr">
        <is>
          <t>㎡</t>
        </is>
      </c>
      <c r="E24" s="429">
        <f>经济技术指标!$D$17</f>
        <v/>
      </c>
      <c r="F24" s="382">
        <f>C24/E24*10000</f>
        <v/>
      </c>
      <c r="G24" s="172" t="inlineStr">
        <is>
          <t>室外面积</t>
        </is>
      </c>
      <c r="H24" s="170" t="inlineStr">
        <is>
          <t>专业工程指标</t>
        </is>
      </c>
    </row>
    <row r="25" hidden="1" outlineLevel="1" ht="24.95" customFormat="1" customHeight="1" s="118">
      <c r="A25" s="426" t="inlineStr">
        <is>
          <t>5.4.4</t>
        </is>
      </c>
      <c r="B25" s="198" t="inlineStr">
        <is>
          <t>室外智能化工程</t>
        </is>
      </c>
      <c r="C25" s="169" t="n"/>
      <c r="D25" s="170" t="inlineStr">
        <is>
          <t>㎡</t>
        </is>
      </c>
      <c r="E25" s="429">
        <f>经济技术指标!$D$17</f>
        <v/>
      </c>
      <c r="F25" s="382">
        <f>C25/E25*10000</f>
        <v/>
      </c>
      <c r="G25" s="172" t="inlineStr">
        <is>
          <t>室外面积</t>
        </is>
      </c>
      <c r="H25" s="170" t="inlineStr">
        <is>
          <t>专业工程指标</t>
        </is>
      </c>
    </row>
    <row r="26" hidden="1" outlineLevel="1" ht="24.95" customFormat="1" customHeight="1" s="118">
      <c r="A26" s="426" t="n"/>
      <c r="B26" s="168" t="inlineStr">
        <is>
          <t>……</t>
        </is>
      </c>
      <c r="C26" s="169" t="n"/>
      <c r="D26" s="170" t="n"/>
      <c r="E26" s="429" t="n"/>
      <c r="F26" s="427" t="n"/>
      <c r="G26" s="172" t="n"/>
      <c r="H26" s="170" t="n"/>
    </row>
    <row r="27" ht="24.95" customFormat="1" customHeight="1" s="118">
      <c r="A27" s="424" t="n">
        <v>5.5</v>
      </c>
      <c r="B27" s="196" t="inlineStr">
        <is>
          <t>变配电配套工程</t>
        </is>
      </c>
      <c r="C27" s="199" t="n"/>
      <c r="D27" s="430" t="inlineStr">
        <is>
          <t>㎡</t>
        </is>
      </c>
      <c r="E27" s="425">
        <f>经济技术指标!$D$5</f>
        <v/>
      </c>
      <c r="F27" s="425">
        <f>C27/E27*10000</f>
        <v/>
      </c>
      <c r="G27" s="200" t="inlineStr">
        <is>
          <t>总建筑面积</t>
        </is>
      </c>
      <c r="H27" s="189" t="inlineStr">
        <is>
          <t>单位工程指标</t>
        </is>
      </c>
    </row>
    <row r="28" ht="24.95" customFormat="1" customHeight="1" s="118">
      <c r="A28" s="424" t="n">
        <v>5.6</v>
      </c>
      <c r="B28" s="196" t="inlineStr">
        <is>
          <t>供水配套工程</t>
        </is>
      </c>
      <c r="C28" s="199" t="n"/>
      <c r="D28" s="201" t="inlineStr">
        <is>
          <t>㎡</t>
        </is>
      </c>
      <c r="E28" s="425">
        <f>经济技术指标!$D$5</f>
        <v/>
      </c>
      <c r="F28" s="425">
        <f>C28/E28*10000</f>
        <v/>
      </c>
      <c r="G28" s="201" t="inlineStr">
        <is>
          <t>总建筑面积</t>
        </is>
      </c>
      <c r="H28" s="189" t="inlineStr">
        <is>
          <t>单位工程指标</t>
        </is>
      </c>
    </row>
    <row r="29" ht="24.95" customFormat="1" customHeight="1" s="118">
      <c r="A29" s="424" t="n">
        <v>5.7</v>
      </c>
      <c r="B29" s="196" t="inlineStr">
        <is>
          <t>通讯配套工程</t>
        </is>
      </c>
      <c r="C29" s="199" t="n"/>
      <c r="D29" s="201" t="inlineStr">
        <is>
          <t>㎡</t>
        </is>
      </c>
      <c r="E29" s="425">
        <f>经济技术指标!$D$5</f>
        <v/>
      </c>
      <c r="F29" s="425">
        <f>C29/E29*10000</f>
        <v/>
      </c>
      <c r="G29" s="201" t="inlineStr">
        <is>
          <t>总建筑面积</t>
        </is>
      </c>
      <c r="H29" s="189" t="inlineStr">
        <is>
          <t>单位工程指标</t>
        </is>
      </c>
    </row>
    <row r="30" ht="24.95" customFormat="1" customHeight="1" s="118">
      <c r="A30" s="424" t="n">
        <v>5.8</v>
      </c>
      <c r="B30" s="196" t="inlineStr">
        <is>
          <t>燃气配套工程</t>
        </is>
      </c>
      <c r="C30" s="199" t="n"/>
      <c r="D30" s="201" t="inlineStr">
        <is>
          <t>㎡</t>
        </is>
      </c>
      <c r="E30" s="425">
        <f>经济技术指标!$D$5</f>
        <v/>
      </c>
      <c r="F30" s="425">
        <f>C30/E30*10000</f>
        <v/>
      </c>
      <c r="G30" s="201" t="inlineStr">
        <is>
          <t>总建筑面积</t>
        </is>
      </c>
      <c r="H30" s="189" t="inlineStr">
        <is>
          <t>单位工程指标</t>
        </is>
      </c>
    </row>
    <row r="31" ht="24.95" customFormat="1" customHeight="1" s="118">
      <c r="A31" s="424" t="n">
        <v>5.9</v>
      </c>
      <c r="B31" s="196" t="inlineStr">
        <is>
          <t>标识标牌配套工程</t>
        </is>
      </c>
      <c r="C31" s="199" t="n"/>
      <c r="D31" s="201" t="inlineStr">
        <is>
          <t>㎡</t>
        </is>
      </c>
      <c r="E31" s="425">
        <f>经济技术指标!$D$5</f>
        <v/>
      </c>
      <c r="F31" s="425">
        <f>C31/E31*10000</f>
        <v/>
      </c>
      <c r="G31" s="201" t="inlineStr">
        <is>
          <t>总建筑面积</t>
        </is>
      </c>
      <c r="H31" s="189" t="inlineStr">
        <is>
          <t>单位工程指标</t>
        </is>
      </c>
    </row>
    <row r="32" ht="24.95" customFormat="1" customHeight="1" s="118">
      <c r="A32" s="426" t="n"/>
      <c r="B32" s="168" t="inlineStr">
        <is>
          <t>……</t>
        </is>
      </c>
      <c r="C32" s="169" t="n"/>
      <c r="D32" s="170" t="n"/>
      <c r="E32" s="427" t="n"/>
      <c r="F32" s="427" t="n"/>
      <c r="G32" s="172" t="n"/>
      <c r="H32" s="170" t="n"/>
    </row>
    <row r="33" ht="23.1" customHeight="1" s="388"/>
    <row r="34" ht="23.1" customHeight="1" s="388"/>
    <row r="35" ht="20.1" customHeight="1" s="388"/>
  </sheetData>
  <mergeCells count="6">
    <mergeCell ref="C3:C4"/>
    <mergeCell ref="A2:H2"/>
    <mergeCell ref="A3:A4"/>
    <mergeCell ref="B3:B4"/>
    <mergeCell ref="A1:H1"/>
    <mergeCell ref="D3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T31"/>
  <sheetViews>
    <sheetView tabSelected="1" workbookViewId="0">
      <pane ySplit="4" topLeftCell="A5" activePane="bottomLeft" state="frozen"/>
      <selection activeCell="A1" sqref="A1"/>
      <selection pane="bottomLeft" activeCell="K13" sqref="K13"/>
    </sheetView>
  </sheetViews>
  <sheetFormatPr baseColWidth="8" defaultColWidth="9" defaultRowHeight="13.5"/>
  <cols>
    <col width="5.125" customWidth="1" style="368" min="1" max="1"/>
    <col width="20.625" customWidth="1" style="118" min="2" max="2"/>
    <col width="11.625" customWidth="1" style="118" min="3" max="3"/>
    <col width="6.125" customWidth="1" style="118" min="4" max="4"/>
    <col width="7.25" customWidth="1" style="118" min="5" max="5"/>
    <col width="8.875" customWidth="1" style="120" min="6" max="6"/>
    <col width="11.75" customWidth="1" style="118" min="7" max="7"/>
    <col width="7.125" customWidth="1" style="121" min="8" max="8"/>
    <col width="9.375" customWidth="1" style="118" min="9" max="9"/>
    <col width="9" customWidth="1" style="118" min="10" max="243"/>
    <col width="9" customWidth="1" style="368" min="244" max="16384"/>
  </cols>
  <sheetData>
    <row r="1" ht="32.1" customFormat="1" customHeight="1" s="118">
      <c r="B1" s="174" t="inlineStr">
        <is>
          <t>工程建设其他费分析表</t>
        </is>
      </c>
    </row>
    <row r="2" ht="26.1" customFormat="1" customHeight="1" s="118">
      <c r="A2" s="124" t="inlineStr">
        <is>
          <t>项目名称：{{PROJECT_NAME}}</t>
        </is>
      </c>
    </row>
    <row r="3" ht="20.1" customFormat="1" customHeight="1" s="118">
      <c r="A3" s="178" t="inlineStr">
        <is>
          <t>序号</t>
        </is>
      </c>
      <c r="B3" s="178" t="inlineStr">
        <is>
          <t>工程或费用名称</t>
        </is>
      </c>
      <c r="C3" s="178" t="inlineStr">
        <is>
          <t>费用
（万元）</t>
        </is>
      </c>
      <c r="D3" s="142" t="inlineStr">
        <is>
          <t>技术经济指标</t>
        </is>
      </c>
      <c r="E3" s="370" t="n"/>
      <c r="F3" s="370" t="n"/>
      <c r="G3" s="370" t="n"/>
      <c r="H3" s="371" t="n"/>
      <c r="I3" s="129" t="inlineStr">
        <is>
          <t>费用计算
标准</t>
        </is>
      </c>
    </row>
    <row r="4" ht="33.95" customFormat="1" customHeight="1" s="118">
      <c r="A4" s="372" t="n"/>
      <c r="B4" s="372" t="n"/>
      <c r="C4" s="372" t="n"/>
      <c r="D4" s="142" t="inlineStr">
        <is>
          <t>单位
（x）</t>
        </is>
      </c>
      <c r="E4" s="142" t="inlineStr">
        <is>
          <t>数量</t>
        </is>
      </c>
      <c r="F4" s="130" t="inlineStr">
        <is>
          <t xml:space="preserve">单方指标
（元/x）           </t>
        </is>
      </c>
      <c r="G4" s="178" t="inlineStr">
        <is>
          <t>计算基数</t>
        </is>
      </c>
      <c r="H4" s="178" t="inlineStr">
        <is>
          <t>指标
说明</t>
        </is>
      </c>
      <c r="I4" s="372" t="n"/>
    </row>
    <row r="5" ht="30" customFormat="1" customHeight="1" s="118">
      <c r="A5" s="132" t="inlineStr">
        <is>
          <t>二</t>
        </is>
      </c>
      <c r="B5" s="133" t="inlineStr">
        <is>
          <t>工程建设其他费用</t>
        </is>
      </c>
      <c r="C5" s="431">
        <f>C6+C9+SUM(C14:C30)</f>
        <v/>
      </c>
      <c r="D5" s="135" t="inlineStr">
        <is>
          <t>㎡</t>
        </is>
      </c>
      <c r="E5" s="432">
        <f>经济技术指标!$D$5</f>
        <v/>
      </c>
      <c r="F5" s="432">
        <f>C5/E5*10000</f>
        <v/>
      </c>
      <c r="G5" s="137" t="inlineStr">
        <is>
          <t>总建筑面积</t>
        </is>
      </c>
      <c r="H5" s="135" t="n"/>
      <c r="I5" s="138" t="n"/>
    </row>
    <row r="6" ht="30" customFormat="1" customHeight="1" s="118">
      <c r="A6" s="139" t="n">
        <v>1</v>
      </c>
      <c r="B6" s="140" t="inlineStr">
        <is>
          <t>项目建设管理费</t>
        </is>
      </c>
      <c r="C6" s="433">
        <f>SUM(C7:C8)</f>
        <v/>
      </c>
      <c r="D6" s="142" t="inlineStr">
        <is>
          <t>㎡</t>
        </is>
      </c>
      <c r="E6" s="434">
        <f>经济技术指标!$D$5</f>
        <v/>
      </c>
      <c r="F6" s="435">
        <f>C6/E6*10000</f>
        <v/>
      </c>
      <c r="G6" s="145" t="inlineStr">
        <is>
          <t>总建筑面积</t>
        </is>
      </c>
      <c r="H6" s="146" t="n"/>
      <c r="I6" s="138">
        <f>_xlfn.DISPIMG("ID_62B8062AD4674B308CF07115098E9CA0",1)</f>
        <v/>
      </c>
    </row>
    <row r="7" outlineLevel="1" ht="30" customFormat="1" customHeight="1" s="118">
      <c r="A7" s="257" t="n">
        <v>1.1</v>
      </c>
      <c r="B7" s="148" t="inlineStr">
        <is>
          <t>建设单位管理费</t>
        </is>
      </c>
      <c r="C7" s="436" t="n"/>
      <c r="D7" s="170" t="inlineStr">
        <is>
          <t>㎡</t>
        </is>
      </c>
      <c r="E7" s="408">
        <f>经济技术指标!$D$5</f>
        <v/>
      </c>
      <c r="F7" s="408">
        <f>C7/E7*10000</f>
        <v/>
      </c>
      <c r="G7" s="263" t="inlineStr">
        <is>
          <t>总建筑面积</t>
        </is>
      </c>
      <c r="H7" s="437" t="n"/>
      <c r="I7" s="138" t="n"/>
    </row>
    <row r="8" outlineLevel="1" ht="30" customFormat="1" customHeight="1" s="118">
      <c r="A8" s="257" t="n">
        <v>1.2</v>
      </c>
      <c r="B8" s="148" t="inlineStr">
        <is>
          <t>项目管理费</t>
        </is>
      </c>
      <c r="C8" s="436" t="n"/>
      <c r="D8" s="170" t="inlineStr">
        <is>
          <t>㎡</t>
        </is>
      </c>
      <c r="E8" s="408">
        <f>经济技术指标!$D$5</f>
        <v/>
      </c>
      <c r="F8" s="408">
        <f>C8/E8*10000</f>
        <v/>
      </c>
      <c r="G8" s="263" t="inlineStr">
        <is>
          <t>总建筑面积</t>
        </is>
      </c>
      <c r="H8" s="163" t="n"/>
      <c r="I8" s="138" t="n"/>
    </row>
    <row r="9" ht="30" customFormat="1" customHeight="1" s="118">
      <c r="A9" s="139" t="n">
        <v>2</v>
      </c>
      <c r="B9" s="155" t="inlineStr">
        <is>
          <t>建设管理其他费</t>
        </is>
      </c>
      <c r="C9" s="438">
        <f>SUM(C10:C13)</f>
        <v/>
      </c>
      <c r="D9" s="142" t="inlineStr">
        <is>
          <t>㎡</t>
        </is>
      </c>
      <c r="E9" s="434">
        <f>经济技术指标!$D$5</f>
        <v/>
      </c>
      <c r="F9" s="435">
        <f>C9/E9*10000</f>
        <v/>
      </c>
      <c r="G9" s="145" t="inlineStr">
        <is>
          <t>总建筑面积</t>
        </is>
      </c>
      <c r="H9" s="146" t="n"/>
      <c r="I9" s="138">
        <f>_xlfn.DISPIMG("ID_353356DCA9BF4818ADEE8EF7E4CAC740",1)</f>
        <v/>
      </c>
    </row>
    <row r="10" outlineLevel="1" ht="30" customFormat="1" customHeight="1" s="118">
      <c r="A10" s="257" t="n">
        <v>2.1</v>
      </c>
      <c r="B10" s="157" t="inlineStr">
        <is>
          <t>建设项目前期咨询费</t>
        </is>
      </c>
      <c r="C10" s="436" t="n"/>
      <c r="D10" s="170" t="inlineStr">
        <is>
          <t>㎡</t>
        </is>
      </c>
      <c r="E10" s="408">
        <f>经济技术指标!$D$5</f>
        <v/>
      </c>
      <c r="F10" s="408">
        <f>C10/E10*10000</f>
        <v/>
      </c>
      <c r="G10" s="263" t="inlineStr">
        <is>
          <t>总建筑面积</t>
        </is>
      </c>
      <c r="H10" s="158" t="n"/>
      <c r="I10" s="138" t="n"/>
    </row>
    <row r="11" outlineLevel="1" ht="30" customFormat="1" customHeight="1" s="118">
      <c r="A11" s="257" t="n">
        <v>2.2</v>
      </c>
      <c r="B11" s="159" t="inlineStr">
        <is>
          <t>工程招标代理费</t>
        </is>
      </c>
      <c r="C11" s="436" t="n"/>
      <c r="D11" s="170" t="inlineStr">
        <is>
          <t>㎡</t>
        </is>
      </c>
      <c r="E11" s="408">
        <f>经济技术指标!$D$5</f>
        <v/>
      </c>
      <c r="F11" s="408">
        <f>C11/E11*10000</f>
        <v/>
      </c>
      <c r="G11" s="263" t="inlineStr">
        <is>
          <t>总建筑面积</t>
        </is>
      </c>
      <c r="H11" s="163" t="n"/>
      <c r="I11" s="138">
        <f>_xlfn.DISPIMG("ID_E011E42960CA49FC9CAA585277B222A4",1)</f>
        <v/>
      </c>
    </row>
    <row r="12" outlineLevel="1" ht="30" customFormat="1" customHeight="1" s="118">
      <c r="A12" s="257" t="n">
        <v>2.3</v>
      </c>
      <c r="B12" s="159" t="inlineStr">
        <is>
          <t>工程造价咨询费</t>
        </is>
      </c>
      <c r="C12" s="436" t="n"/>
      <c r="D12" s="170" t="inlineStr">
        <is>
          <t>㎡</t>
        </is>
      </c>
      <c r="E12" s="408">
        <f>经济技术指标!$D$5</f>
        <v/>
      </c>
      <c r="F12" s="408">
        <f>C12/E12*10000</f>
        <v/>
      </c>
      <c r="G12" s="263" t="inlineStr">
        <is>
          <t>总建筑面积</t>
        </is>
      </c>
      <c r="H12" s="258" t="n"/>
      <c r="I12" s="138">
        <f>_xlfn.DISPIMG("ID_BE8100AAD6C546B1BE1B6EDC5A9999CC",1)</f>
        <v/>
      </c>
    </row>
    <row r="13" outlineLevel="1" ht="30" customFormat="1" customHeight="1" s="118">
      <c r="A13" s="257" t="n">
        <v>2.4</v>
      </c>
      <c r="B13" s="161" t="inlineStr">
        <is>
          <t>建设管理其他费</t>
        </is>
      </c>
      <c r="C13" s="436" t="n"/>
      <c r="D13" s="170" t="inlineStr">
        <is>
          <t>㎡</t>
        </is>
      </c>
      <c r="E13" s="408">
        <f>经济技术指标!$D$5</f>
        <v/>
      </c>
      <c r="F13" s="408">
        <f>C13/E13*10000</f>
        <v/>
      </c>
      <c r="G13" s="263" t="inlineStr">
        <is>
          <t>总建筑面积</t>
        </is>
      </c>
      <c r="H13" s="258" t="n"/>
      <c r="I13" s="138" t="n"/>
    </row>
    <row r="14" ht="30" customFormat="1" customHeight="1" s="118">
      <c r="A14" s="139" t="n">
        <v>3</v>
      </c>
      <c r="B14" s="155" t="inlineStr">
        <is>
          <t>工程监理费</t>
        </is>
      </c>
      <c r="C14" s="438" t="n"/>
      <c r="D14" s="142" t="inlineStr">
        <is>
          <t>㎡</t>
        </is>
      </c>
      <c r="E14" s="434">
        <f>经济技术指标!$D$5</f>
        <v/>
      </c>
      <c r="F14" s="435">
        <f>C14/E14*10000</f>
        <v/>
      </c>
      <c r="G14" s="145" t="inlineStr">
        <is>
          <t>总建筑面积</t>
        </is>
      </c>
      <c r="H14" s="146" t="n"/>
      <c r="I14" s="138">
        <f>_xlfn.DISPIMG("ID_D84FC358A2F64DDE804D53059B1E6AE9",1)</f>
        <v/>
      </c>
    </row>
    <row r="15" ht="30" customFormat="1" customHeight="1" s="118">
      <c r="A15" s="139" t="n">
        <v>4</v>
      </c>
      <c r="B15" s="155" t="inlineStr">
        <is>
          <t>建设用地费</t>
        </is>
      </c>
      <c r="C15" s="438" t="n"/>
      <c r="D15" s="142" t="inlineStr">
        <is>
          <t>㎡</t>
        </is>
      </c>
      <c r="E15" s="434">
        <f>经济技术指标!$D$5</f>
        <v/>
      </c>
      <c r="F15" s="435">
        <f>C15/E15*10000</f>
        <v/>
      </c>
      <c r="G15" s="145" t="inlineStr">
        <is>
          <t>总建筑面积</t>
        </is>
      </c>
      <c r="H15" s="146" t="n"/>
      <c r="I15" s="138" t="n"/>
    </row>
    <row r="16" ht="30" customFormat="1" customHeight="1" s="118">
      <c r="A16" s="139" t="n">
        <v>5</v>
      </c>
      <c r="B16" s="155" t="inlineStr">
        <is>
          <t>可行性研究费</t>
        </is>
      </c>
      <c r="C16" s="438" t="n"/>
      <c r="D16" s="142" t="inlineStr">
        <is>
          <t>㎡</t>
        </is>
      </c>
      <c r="E16" s="434">
        <f>经济技术指标!$D$5</f>
        <v/>
      </c>
      <c r="F16" s="435">
        <f>C16/E16*10000</f>
        <v/>
      </c>
      <c r="G16" s="145" t="inlineStr">
        <is>
          <t>总建筑面积</t>
        </is>
      </c>
      <c r="H16" s="162" t="n"/>
      <c r="I16" s="138">
        <f>_xlfn.DISPIMG("ID_F3F56E83FAF245A4904EEE4309A32062",1)</f>
        <v/>
      </c>
    </row>
    <row r="17" ht="30" customFormat="1" customHeight="1" s="118">
      <c r="A17" s="139" t="n">
        <v>6</v>
      </c>
      <c r="B17" s="140" t="inlineStr">
        <is>
          <t>勘察费设计费</t>
        </is>
      </c>
      <c r="C17" s="438" t="n"/>
      <c r="D17" s="142" t="inlineStr">
        <is>
          <t>㎡</t>
        </is>
      </c>
      <c r="E17" s="434">
        <f>经济技术指标!$D$5</f>
        <v/>
      </c>
      <c r="F17" s="435">
        <f>C17/E17*10000</f>
        <v/>
      </c>
      <c r="G17" s="145" t="inlineStr">
        <is>
          <t>总建筑面积</t>
        </is>
      </c>
      <c r="H17" s="162" t="n"/>
      <c r="I17" s="138">
        <f>_xlfn.DISPIMG("ID_684596C7535E4F96BC0010F8FBD83BAE",1)</f>
        <v/>
      </c>
    </row>
    <row r="18" ht="30" customFormat="1" customHeight="1" s="118">
      <c r="A18" s="139" t="n">
        <v>7</v>
      </c>
      <c r="B18" s="155" t="inlineStr">
        <is>
          <t>环境影响评价费</t>
        </is>
      </c>
      <c r="C18" s="438" t="n"/>
      <c r="D18" s="142" t="inlineStr">
        <is>
          <t>㎡</t>
        </is>
      </c>
      <c r="E18" s="434">
        <f>经济技术指标!$D$5</f>
        <v/>
      </c>
      <c r="F18" s="435">
        <f>C18/E18*10000</f>
        <v/>
      </c>
      <c r="G18" s="145" t="inlineStr">
        <is>
          <t>总建筑面积</t>
        </is>
      </c>
      <c r="H18" s="162" t="n"/>
      <c r="I18" s="138">
        <f>_xlfn.DISPIMG("ID_BE15CF6B8D374EFCBFA349ACF35114F0",1)</f>
        <v/>
      </c>
    </row>
    <row r="19" ht="30" customFormat="1" customHeight="1" s="118">
      <c r="A19" s="139" t="n">
        <v>8</v>
      </c>
      <c r="B19" s="155" t="inlineStr">
        <is>
          <t>节能评估费</t>
        </is>
      </c>
      <c r="C19" s="438" t="n"/>
      <c r="D19" s="142" t="inlineStr">
        <is>
          <t>㎡</t>
        </is>
      </c>
      <c r="E19" s="434">
        <f>经济技术指标!$D$5</f>
        <v/>
      </c>
      <c r="F19" s="435">
        <f>C19/E19*10000</f>
        <v/>
      </c>
      <c r="G19" s="145" t="inlineStr">
        <is>
          <t>总建筑面积</t>
        </is>
      </c>
      <c r="H19" s="162" t="n"/>
      <c r="I19" s="138">
        <f>_xlfn.DISPIMG("ID_E6F3E89C98494E08A8F0FD3908047746",1)</f>
        <v/>
      </c>
    </row>
    <row r="20" ht="30" customFormat="1" customHeight="1" s="118">
      <c r="A20" s="139" t="n">
        <v>9</v>
      </c>
      <c r="B20" s="155" t="inlineStr">
        <is>
          <t>场地准备及临时设施费</t>
        </is>
      </c>
      <c r="C20" s="438" t="n"/>
      <c r="D20" s="142" t="inlineStr">
        <is>
          <t>㎡</t>
        </is>
      </c>
      <c r="E20" s="434">
        <f>经济技术指标!$D$5</f>
        <v/>
      </c>
      <c r="F20" s="435">
        <f>C20/E20*10000</f>
        <v/>
      </c>
      <c r="G20" s="145" t="inlineStr">
        <is>
          <t>总建筑面积</t>
        </is>
      </c>
      <c r="H20" s="162" t="n"/>
      <c r="I20" s="138">
        <f>_xlfn.DISPIMG("ID_46EBB496AAB04C80B00328B58B21CD5E",1)</f>
        <v/>
      </c>
    </row>
    <row r="21" ht="30" customFormat="1" customHeight="1" s="118">
      <c r="A21" s="139" t="n">
        <v>10</v>
      </c>
      <c r="B21" s="155" t="inlineStr">
        <is>
          <t>工程保险费</t>
        </is>
      </c>
      <c r="C21" s="438" t="n"/>
      <c r="D21" s="142" t="inlineStr">
        <is>
          <t>㎡</t>
        </is>
      </c>
      <c r="E21" s="434">
        <f>经济技术指标!$D$5</f>
        <v/>
      </c>
      <c r="F21" s="435">
        <f>C21/E21*10000</f>
        <v/>
      </c>
      <c r="G21" s="145" t="inlineStr">
        <is>
          <t>总建筑面积</t>
        </is>
      </c>
      <c r="H21" s="162" t="n"/>
      <c r="I21" s="138">
        <f>_xlfn.DISPIMG("ID_D0615DA30E6B4FDBB8896E561388EEA1",1)</f>
        <v/>
      </c>
    </row>
    <row r="22" ht="30" customFormat="1" customHeight="1" s="118">
      <c r="A22" s="139" t="n">
        <v>11</v>
      </c>
      <c r="B22" s="140" t="inlineStr">
        <is>
          <t>市政基础设施配套费</t>
        </is>
      </c>
      <c r="C22" s="438" t="n"/>
      <c r="D22" s="142" t="inlineStr">
        <is>
          <t>㎡</t>
        </is>
      </c>
      <c r="E22" s="434">
        <f>经济技术指标!$D$5</f>
        <v/>
      </c>
      <c r="F22" s="435">
        <f>C22/E22*10000</f>
        <v/>
      </c>
      <c r="G22" s="145" t="inlineStr">
        <is>
          <t>总建筑面积</t>
        </is>
      </c>
      <c r="H22" s="163" t="n"/>
      <c r="I22" s="138">
        <f>_xlfn.DISPIMG("ID_BEBE3001711943D8AF784F6561D5932D",1)</f>
        <v/>
      </c>
    </row>
    <row r="23" ht="30" customFormat="1" customHeight="1" s="118">
      <c r="A23" s="139" t="n">
        <v>12</v>
      </c>
      <c r="B23" s="164" t="inlineStr">
        <is>
          <t>高可靠性供电费</t>
        </is>
      </c>
      <c r="C23" s="438" t="n"/>
      <c r="D23" s="142" t="inlineStr">
        <is>
          <t>㎡</t>
        </is>
      </c>
      <c r="E23" s="434">
        <f>经济技术指标!$D$5</f>
        <v/>
      </c>
      <c r="F23" s="435">
        <f>C23/E23*10000</f>
        <v/>
      </c>
      <c r="G23" s="145" t="inlineStr">
        <is>
          <t>总建筑面积</t>
        </is>
      </c>
      <c r="H23" s="163" t="n"/>
      <c r="I23" s="138">
        <f>_xlfn.DISPIMG("ID_AEEA97D9156A4804AF567F76F3047D94",1)</f>
        <v/>
      </c>
    </row>
    <row r="24" ht="30" customFormat="1" customHeight="1" s="118">
      <c r="A24" s="139" t="n">
        <v>13</v>
      </c>
      <c r="B24" s="164" t="inlineStr">
        <is>
          <t>水土保持方案编制费</t>
        </is>
      </c>
      <c r="C24" s="438" t="n"/>
      <c r="D24" s="142" t="inlineStr">
        <is>
          <t>㎡</t>
        </is>
      </c>
      <c r="E24" s="434">
        <f>经济技术指标!$D$5</f>
        <v/>
      </c>
      <c r="F24" s="435">
        <f>C24/E24*10000</f>
        <v/>
      </c>
      <c r="G24" s="145" t="inlineStr">
        <is>
          <t>总建筑面积</t>
        </is>
      </c>
      <c r="H24" s="163" t="n"/>
      <c r="I24" s="138" t="n"/>
    </row>
    <row r="25" ht="30" customFormat="1" customHeight="1" s="118">
      <c r="A25" s="139" t="n">
        <v>14</v>
      </c>
      <c r="B25" s="164" t="inlineStr">
        <is>
          <t>工程检测费</t>
        </is>
      </c>
      <c r="C25" s="438" t="n"/>
      <c r="D25" s="142" t="inlineStr">
        <is>
          <t>㎡</t>
        </is>
      </c>
      <c r="E25" s="434">
        <f>经济技术指标!$D$5</f>
        <v/>
      </c>
      <c r="F25" s="435">
        <f>C25/E25*10000</f>
        <v/>
      </c>
      <c r="G25" s="145" t="inlineStr">
        <is>
          <t>总建筑面积</t>
        </is>
      </c>
      <c r="H25" s="163" t="n"/>
      <c r="I25" s="138" t="n"/>
    </row>
    <row r="26" ht="30" customFormat="1" customHeight="1" s="118">
      <c r="A26" s="139" t="n">
        <v>15</v>
      </c>
      <c r="B26" s="164" t="inlineStr">
        <is>
          <t>BIM数字化服务费</t>
        </is>
      </c>
      <c r="C26" s="438" t="n"/>
      <c r="D26" s="142" t="inlineStr">
        <is>
          <t>㎡</t>
        </is>
      </c>
      <c r="E26" s="434">
        <f>经济技术指标!$D$5</f>
        <v/>
      </c>
      <c r="F26" s="435">
        <f>C26/E26*10000</f>
        <v/>
      </c>
      <c r="G26" s="145" t="inlineStr">
        <is>
          <t>总建筑面积</t>
        </is>
      </c>
      <c r="H26" s="163" t="n"/>
      <c r="I26" s="138" t="n"/>
    </row>
    <row r="27" ht="30" customFormat="1" customHeight="1" s="118">
      <c r="A27" s="139" t="n">
        <v>16</v>
      </c>
      <c r="B27" s="155" t="inlineStr">
        <is>
          <t>引进技术和引进设备其他费</t>
        </is>
      </c>
      <c r="C27" s="438" t="n"/>
      <c r="D27" s="142" t="inlineStr">
        <is>
          <t>㎡</t>
        </is>
      </c>
      <c r="E27" s="434">
        <f>经济技术指标!$D$5</f>
        <v/>
      </c>
      <c r="F27" s="435">
        <f>C27/E27*10000</f>
        <v/>
      </c>
      <c r="G27" s="145" t="inlineStr">
        <is>
          <t>总建筑面积</t>
        </is>
      </c>
      <c r="H27" s="439" t="n"/>
      <c r="I27" s="138" t="n"/>
    </row>
    <row r="28" ht="30" customFormat="1" customHeight="1" s="118">
      <c r="A28" s="139" t="n">
        <v>17</v>
      </c>
      <c r="B28" s="140" t="inlineStr">
        <is>
          <t>联合试运转费</t>
        </is>
      </c>
      <c r="C28" s="438" t="n"/>
      <c r="D28" s="142" t="inlineStr">
        <is>
          <t>㎡</t>
        </is>
      </c>
      <c r="E28" s="434">
        <f>经济技术指标!$D$5</f>
        <v/>
      </c>
      <c r="F28" s="435">
        <f>C28/E28*10000</f>
        <v/>
      </c>
      <c r="G28" s="145" t="inlineStr">
        <is>
          <t>总建筑面积</t>
        </is>
      </c>
      <c r="H28" s="166" t="n"/>
      <c r="I28" s="138">
        <f>_xlfn.DISPIMG("ID_8EED7AD017BD4446994A41FDDD30B228",1)</f>
        <v/>
      </c>
      <c r="IJ28" s="368" t="n"/>
      <c r="IK28" s="368" t="n"/>
      <c r="IL28" s="368" t="n"/>
      <c r="IM28" s="368" t="n"/>
      <c r="IN28" s="368" t="n"/>
      <c r="IO28" s="368" t="n"/>
      <c r="IP28" s="368" t="n"/>
      <c r="IQ28" s="368" t="n"/>
      <c r="IR28" s="368" t="n"/>
      <c r="IS28" s="368" t="n"/>
      <c r="IT28" s="368" t="n"/>
    </row>
    <row r="29" ht="30" customFormat="1" customHeight="1" s="118">
      <c r="A29" s="139" t="n">
        <v>18</v>
      </c>
      <c r="B29" s="140" t="inlineStr">
        <is>
          <t>专利及专有技术使用费</t>
        </is>
      </c>
      <c r="C29" s="438" t="n"/>
      <c r="D29" s="142" t="inlineStr">
        <is>
          <t>㎡</t>
        </is>
      </c>
      <c r="E29" s="434">
        <f>经济技术指标!$D$5</f>
        <v/>
      </c>
      <c r="F29" s="435">
        <f>C29/E29*10000</f>
        <v/>
      </c>
      <c r="G29" s="145" t="inlineStr">
        <is>
          <t>总建筑面积</t>
        </is>
      </c>
      <c r="H29" s="163" t="n"/>
      <c r="I29" s="138">
        <f>_xlfn.DISPIMG("ID_FA10EBB06CF14B70A36511F24BE2C0CE",1)</f>
        <v/>
      </c>
    </row>
    <row r="30" ht="30" customFormat="1" customHeight="1" s="118">
      <c r="A30" s="139" t="n">
        <v>19</v>
      </c>
      <c r="B30" s="140" t="inlineStr">
        <is>
          <t>生产准备及开办费</t>
        </is>
      </c>
      <c r="C30" s="438" t="n"/>
      <c r="D30" s="142" t="inlineStr">
        <is>
          <t>㎡</t>
        </is>
      </c>
      <c r="E30" s="434">
        <f>经济技术指标!$D$5</f>
        <v/>
      </c>
      <c r="F30" s="435">
        <f>C30/E30*10000</f>
        <v/>
      </c>
      <c r="G30" s="145" t="inlineStr">
        <is>
          <t>总建筑面积</t>
        </is>
      </c>
      <c r="H30" s="163" t="n"/>
      <c r="I30" s="138">
        <f>_xlfn.DISPIMG("ID_947E9ED54A1C4897A716650557E3577C",1)</f>
        <v/>
      </c>
    </row>
    <row r="31" ht="30" customFormat="1" customHeight="1" s="118">
      <c r="A31" s="440" t="n"/>
      <c r="B31" s="168" t="inlineStr">
        <is>
          <t>……</t>
        </is>
      </c>
      <c r="C31" s="169" t="n"/>
      <c r="D31" s="170" t="n"/>
      <c r="E31" s="427" t="n"/>
      <c r="F31" s="427" t="n"/>
      <c r="G31" s="172" t="n"/>
      <c r="H31" s="170" t="n"/>
      <c r="I31" s="138" t="n"/>
    </row>
  </sheetData>
  <mergeCells count="7">
    <mergeCell ref="B1:H1"/>
    <mergeCell ref="C3:C4"/>
    <mergeCell ref="A3:A4"/>
    <mergeCell ref="B3:B4"/>
    <mergeCell ref="A2:H2"/>
    <mergeCell ref="I3:I4"/>
    <mergeCell ref="D3:H3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123"/>
  <sheetViews>
    <sheetView workbookViewId="0">
      <selection activeCell="I12" sqref="I12"/>
    </sheetView>
  </sheetViews>
  <sheetFormatPr baseColWidth="8" defaultColWidth="9" defaultRowHeight="13.5" customHeight="1"/>
  <cols>
    <col width="5.86666666666667" customWidth="1" style="5" min="1" max="1"/>
    <col width="6.73333333333333" customWidth="1" style="5" min="2" max="2"/>
    <col width="19.025" customWidth="1" style="7" min="3" max="3"/>
    <col width="26.0833333333333" customWidth="1" style="7" min="4" max="4"/>
    <col width="5.65" customWidth="1" style="8" min="5" max="5"/>
    <col width="8.800000000000001" customWidth="1" style="7" min="6" max="6"/>
    <col width="9.016666666666669" customWidth="1" style="7" min="7" max="7"/>
    <col width="9.66666666666667" customWidth="1" style="7" min="8" max="8"/>
    <col outlineLevel="1" width="10.325" customWidth="1" style="441" min="9" max="9"/>
    <col outlineLevel="1" width="11.7416666666667" customWidth="1" style="442" min="10" max="10"/>
    <col outlineLevel="1" width="9.449999999999999" customWidth="1" style="441" min="11" max="11"/>
    <col outlineLevel="1" width="13.3666666666667" customWidth="1" style="443" min="12" max="12"/>
    <col width="9" customWidth="1" style="3" min="13" max="16384"/>
  </cols>
  <sheetData>
    <row r="1" ht="49.65" customFormat="1" customHeight="1" s="3">
      <c r="A1" s="13" t="inlineStr">
        <is>
          <t>建筑工程概算项目清单</t>
        </is>
      </c>
    </row>
    <row r="2" ht="13" customFormat="1" customHeight="1" s="3">
      <c r="A2" s="17" t="inlineStr">
        <is>
          <t>单位工程及专业工程名称：</t>
        </is>
      </c>
      <c r="I2" s="444" t="n"/>
      <c r="J2" s="445" t="inlineStr">
        <is>
          <t>建筑面积：</t>
        </is>
      </c>
      <c r="K2" s="444" t="n"/>
      <c r="L2" s="445" t="inlineStr">
        <is>
          <t>第  页共  页</t>
        </is>
      </c>
    </row>
    <row r="3" ht="20" customFormat="1" customHeight="1" s="3">
      <c r="A3" s="19" t="inlineStr">
        <is>
          <t>序号</t>
        </is>
      </c>
      <c r="B3" s="19" t="inlineStr">
        <is>
          <t>项目
编码</t>
        </is>
      </c>
      <c r="C3" s="19" t="inlineStr">
        <is>
          <t>项目名称</t>
        </is>
      </c>
      <c r="D3" s="19" t="inlineStr">
        <is>
          <t>工作内容</t>
        </is>
      </c>
      <c r="E3" s="21" t="inlineStr">
        <is>
          <t>计量
单位
（x）</t>
        </is>
      </c>
      <c r="F3" s="19" t="inlineStr">
        <is>
          <t>工程量</t>
        </is>
      </c>
      <c r="G3" s="19" t="inlineStr">
        <is>
          <t>单价
（元）</t>
        </is>
      </c>
      <c r="H3" s="19" t="inlineStr">
        <is>
          <t>合价
（元）</t>
        </is>
      </c>
      <c r="I3" s="446" t="inlineStr">
        <is>
          <t>经济指标</t>
        </is>
      </c>
      <c r="J3" s="371" t="n"/>
      <c r="K3" s="446" t="inlineStr">
        <is>
          <t>工程量指标</t>
        </is>
      </c>
      <c r="L3" s="371" t="n"/>
    </row>
    <row r="4" ht="30" customFormat="1" customHeight="1" s="3">
      <c r="A4" s="372" t="n"/>
      <c r="B4" s="372" t="n"/>
      <c r="C4" s="372" t="n"/>
      <c r="D4" s="372" t="n"/>
      <c r="E4" s="372" t="n"/>
      <c r="F4" s="372" t="n"/>
      <c r="G4" s="372" t="n"/>
      <c r="H4" s="372" t="n"/>
      <c r="I4" s="447" t="inlineStr">
        <is>
          <t xml:space="preserve">单方指标
（元/㎡）           </t>
        </is>
      </c>
      <c r="J4" s="448" t="inlineStr">
        <is>
          <t>指标说明</t>
        </is>
      </c>
      <c r="K4" s="447" t="inlineStr">
        <is>
          <t xml:space="preserve">单方指标
（x/㎡）           </t>
        </is>
      </c>
      <c r="L4" s="448" t="inlineStr">
        <is>
          <t>计算基数</t>
        </is>
      </c>
    </row>
    <row r="5" ht="25" customFormat="1" customHeight="1" s="3">
      <c r="A5" s="83" t="n">
        <v>1</v>
      </c>
      <c r="B5" s="84" t="n"/>
      <c r="C5" s="85" t="inlineStr">
        <is>
          <t>土石方工程</t>
        </is>
      </c>
      <c r="D5" s="30" t="n"/>
      <c r="E5" s="31" t="inlineStr">
        <is>
          <t>m³</t>
        </is>
      </c>
      <c r="F5" s="32" t="n"/>
      <c r="G5" s="32" t="n"/>
      <c r="H5" s="32" t="n"/>
      <c r="I5" s="449" t="n"/>
      <c r="J5" s="450" t="inlineStr">
        <is>
          <t>单体建筑面积</t>
        </is>
      </c>
      <c r="K5" s="449" t="n"/>
      <c r="L5" s="35" t="inlineStr">
        <is>
          <t>土石方开挖量</t>
        </is>
      </c>
    </row>
    <row r="6" outlineLevel="1" ht="29" customFormat="1" customHeight="1" s="3">
      <c r="A6" s="86" t="n">
        <v>1.1</v>
      </c>
      <c r="B6" s="87" t="n"/>
      <c r="C6" s="39" t="inlineStr">
        <is>
          <t>场地平整</t>
        </is>
      </c>
      <c r="D6" s="39" t="n"/>
      <c r="E6" s="21" t="inlineStr">
        <is>
          <t>㎡</t>
        </is>
      </c>
      <c r="F6" s="41" t="n"/>
      <c r="G6" s="41" t="n"/>
      <c r="H6" s="41" t="n"/>
      <c r="I6" s="451" t="n"/>
      <c r="J6" s="452" t="inlineStr">
        <is>
          <t>地下建筑面积</t>
        </is>
      </c>
      <c r="K6" s="451" t="n"/>
      <c r="L6" s="452" t="inlineStr">
        <is>
          <t>首层建筑面积</t>
        </is>
      </c>
    </row>
    <row r="7" outlineLevel="1" ht="25" customFormat="1" customHeight="1" s="3">
      <c r="A7" s="86" t="n">
        <v>1.2</v>
      </c>
      <c r="B7" s="87" t="n"/>
      <c r="C7" s="44" t="inlineStr">
        <is>
          <t>土石方开挖</t>
        </is>
      </c>
      <c r="D7" s="44" t="n"/>
      <c r="E7" s="40" t="inlineStr">
        <is>
          <t>m³</t>
        </is>
      </c>
      <c r="F7" s="46" t="n"/>
      <c r="G7" s="46" t="n"/>
      <c r="H7" s="46" t="n"/>
      <c r="I7" s="453" t="n"/>
      <c r="J7" s="452" t="inlineStr">
        <is>
          <t>单体建筑面积</t>
        </is>
      </c>
      <c r="K7" s="453" t="n"/>
      <c r="L7" s="48" t="inlineStr">
        <is>
          <t>土石方开挖量</t>
        </is>
      </c>
    </row>
    <row r="8" outlineLevel="1" ht="25" customFormat="1" customHeight="1" s="3">
      <c r="A8" s="86" t="n">
        <v>1.3</v>
      </c>
      <c r="B8" s="87" t="n"/>
      <c r="C8" s="49" t="inlineStr">
        <is>
          <t>土石方回填</t>
        </is>
      </c>
      <c r="D8" s="49" t="n"/>
      <c r="E8" s="40" t="inlineStr">
        <is>
          <t>m³</t>
        </is>
      </c>
      <c r="F8" s="50" t="n"/>
      <c r="G8" s="50" t="n"/>
      <c r="H8" s="50" t="n"/>
      <c r="I8" s="454" t="n"/>
      <c r="J8" s="452" t="inlineStr">
        <is>
          <t>单体建筑面积</t>
        </is>
      </c>
      <c r="K8" s="454" t="n"/>
      <c r="L8" s="452" t="inlineStr">
        <is>
          <t>土石方回填量</t>
        </is>
      </c>
    </row>
    <row r="9" outlineLevel="1" ht="25" customFormat="1" customHeight="1" s="3">
      <c r="A9" s="86" t="n">
        <v>1.4</v>
      </c>
      <c r="B9" s="87" t="n"/>
      <c r="C9" s="49" t="inlineStr">
        <is>
          <t>余方弃置</t>
        </is>
      </c>
      <c r="D9" s="49" t="n"/>
      <c r="E9" s="40" t="inlineStr">
        <is>
          <t>m³</t>
        </is>
      </c>
      <c r="F9" s="50" t="n"/>
      <c r="G9" s="50" t="n"/>
      <c r="H9" s="50" t="n"/>
      <c r="I9" s="454" t="n"/>
      <c r="J9" s="452" t="inlineStr">
        <is>
          <t>单体建筑面积</t>
        </is>
      </c>
      <c r="K9" s="454" t="n"/>
      <c r="L9" s="452" t="inlineStr">
        <is>
          <t>弃置方量</t>
        </is>
      </c>
    </row>
    <row r="10" ht="25" customFormat="1" customHeight="1" s="3">
      <c r="A10" s="88" t="n">
        <v>2</v>
      </c>
      <c r="B10" s="89" t="n"/>
      <c r="C10" s="56" t="inlineStr">
        <is>
          <t>地基处理工程</t>
        </is>
      </c>
      <c r="D10" s="56" t="n"/>
      <c r="E10" s="90" t="inlineStr">
        <is>
          <t>m³</t>
        </is>
      </c>
      <c r="F10" s="58" t="n"/>
      <c r="G10" s="58" t="n"/>
      <c r="H10" s="58" t="n"/>
      <c r="I10" s="455" t="n"/>
      <c r="J10" s="456" t="inlineStr">
        <is>
          <t>单体建筑面积</t>
        </is>
      </c>
      <c r="K10" s="455" t="n"/>
      <c r="L10" s="61" t="inlineStr">
        <is>
          <t>地基处理方量</t>
        </is>
      </c>
    </row>
    <row r="11" outlineLevel="1" ht="25" customFormat="1" customHeight="1" s="3">
      <c r="A11" s="36" t="n">
        <v>2.1</v>
      </c>
      <c r="B11" s="91" t="n"/>
      <c r="C11" s="39" t="inlineStr">
        <is>
          <t>换填地基</t>
        </is>
      </c>
      <c r="D11" s="39" t="n"/>
      <c r="E11" s="40" t="inlineStr">
        <is>
          <t>m³</t>
        </is>
      </c>
      <c r="F11" s="41" t="n"/>
      <c r="G11" s="41" t="n"/>
      <c r="H11" s="41" t="n"/>
      <c r="I11" s="454" t="n"/>
      <c r="J11" s="452" t="inlineStr">
        <is>
          <t>单体建筑面积</t>
        </is>
      </c>
      <c r="K11" s="454" t="n"/>
      <c r="L11" s="452" t="inlineStr">
        <is>
          <t>换填方量</t>
        </is>
      </c>
    </row>
    <row r="12" outlineLevel="1" ht="25" customFormat="1" customHeight="1" s="3">
      <c r="A12" s="36" t="n">
        <v>2.2</v>
      </c>
      <c r="B12" s="91" t="n"/>
      <c r="C12" s="39" t="inlineStr">
        <is>
          <t>强夯地基</t>
        </is>
      </c>
      <c r="D12" s="39" t="n"/>
      <c r="E12" s="40" t="inlineStr">
        <is>
          <t>m³</t>
        </is>
      </c>
      <c r="F12" s="41" t="n"/>
      <c r="G12" s="41" t="n"/>
      <c r="H12" s="41" t="n"/>
      <c r="I12" s="454" t="n"/>
      <c r="J12" s="452" t="inlineStr">
        <is>
          <t>单体建筑面积</t>
        </is>
      </c>
      <c r="K12" s="454" t="n"/>
      <c r="L12" s="54" t="inlineStr">
        <is>
          <t>强夯方量</t>
        </is>
      </c>
    </row>
    <row r="13" outlineLevel="1" ht="25" customFormat="1" customHeight="1" s="3">
      <c r="A13" s="36" t="n">
        <v>2.3</v>
      </c>
      <c r="B13" s="91" t="n"/>
      <c r="C13" s="39" t="inlineStr">
        <is>
          <t>预压地基</t>
        </is>
      </c>
      <c r="D13" s="39" t="n"/>
      <c r="E13" s="40" t="inlineStr">
        <is>
          <t>m³</t>
        </is>
      </c>
      <c r="F13" s="41" t="n"/>
      <c r="G13" s="41" t="n"/>
      <c r="H13" s="41" t="n"/>
      <c r="I13" s="454" t="n"/>
      <c r="J13" s="452" t="inlineStr">
        <is>
          <t>单体建筑面积</t>
        </is>
      </c>
      <c r="K13" s="454" t="n"/>
      <c r="L13" s="54" t="inlineStr">
        <is>
          <t>预压方量</t>
        </is>
      </c>
    </row>
    <row r="14" outlineLevel="1" ht="25" customFormat="1" customHeight="1" s="3">
      <c r="A14" s="36" t="n">
        <v>2.4</v>
      </c>
      <c r="B14" s="91" t="n"/>
      <c r="C14" s="39" t="inlineStr">
        <is>
          <t>复合地基</t>
        </is>
      </c>
      <c r="D14" s="39" t="n"/>
      <c r="E14" s="40" t="inlineStr">
        <is>
          <t>m³</t>
        </is>
      </c>
      <c r="F14" s="41" t="n"/>
      <c r="G14" s="41" t="n"/>
      <c r="H14" s="41" t="n"/>
      <c r="I14" s="451" t="n"/>
      <c r="J14" s="452" t="inlineStr">
        <is>
          <t>单体建筑面积</t>
        </is>
      </c>
      <c r="K14" s="451" t="n"/>
      <c r="L14" s="54" t="inlineStr">
        <is>
          <t>复合方量</t>
        </is>
      </c>
    </row>
    <row r="15" outlineLevel="1" ht="25" customFormat="1" customHeight="1" s="3">
      <c r="A15" s="36" t="n">
        <v>2.5</v>
      </c>
      <c r="B15" s="91" t="n"/>
      <c r="C15" s="39" t="inlineStr">
        <is>
          <t>加固地基</t>
        </is>
      </c>
      <c r="D15" s="39" t="n"/>
      <c r="E15" s="40" t="inlineStr">
        <is>
          <t>m³</t>
        </is>
      </c>
      <c r="F15" s="41" t="n"/>
      <c r="G15" s="41" t="n"/>
      <c r="H15" s="41" t="n"/>
      <c r="I15" s="451" t="n"/>
      <c r="J15" s="452" t="inlineStr">
        <is>
          <t>单体建筑面积</t>
        </is>
      </c>
      <c r="K15" s="451" t="n"/>
      <c r="L15" s="54" t="inlineStr">
        <is>
          <t>加固方量</t>
        </is>
      </c>
    </row>
    <row r="16" ht="25" customFormat="1" customHeight="1" s="3">
      <c r="A16" s="88" t="n">
        <v>3</v>
      </c>
      <c r="B16" s="89" t="n"/>
      <c r="C16" s="56" t="inlineStr">
        <is>
          <t>基坑与边坡支护工程</t>
        </is>
      </c>
      <c r="D16" s="56" t="n"/>
      <c r="E16" s="57" t="inlineStr">
        <is>
          <t>m</t>
        </is>
      </c>
      <c r="F16" s="58" t="n"/>
      <c r="G16" s="58" t="n"/>
      <c r="H16" s="58" t="n"/>
      <c r="I16" s="455" t="n"/>
      <c r="J16" s="456" t="inlineStr">
        <is>
          <t>地下建筑面积</t>
        </is>
      </c>
      <c r="K16" s="455" t="n"/>
      <c r="L16" s="61" t="inlineStr">
        <is>
          <t>支护长度</t>
        </is>
      </c>
    </row>
    <row r="17" outlineLevel="1" ht="25" customFormat="1" customHeight="1" s="3">
      <c r="A17" s="92" t="n">
        <v>3.1</v>
      </c>
      <c r="B17" s="91" t="n"/>
      <c r="C17" s="39" t="inlineStr">
        <is>
          <t>止水帷幕</t>
        </is>
      </c>
      <c r="D17" s="39" t="n"/>
      <c r="E17" s="45" t="inlineStr">
        <is>
          <t>m</t>
        </is>
      </c>
      <c r="F17" s="41" t="n"/>
      <c r="G17" s="41" t="n"/>
      <c r="H17" s="41" t="n"/>
      <c r="I17" s="454" t="n"/>
      <c r="J17" s="452" t="inlineStr">
        <is>
          <t>地下建筑面积</t>
        </is>
      </c>
      <c r="K17" s="454" t="n"/>
      <c r="L17" s="452" t="inlineStr">
        <is>
          <t>支护长度</t>
        </is>
      </c>
    </row>
    <row r="18" outlineLevel="1" ht="25" customFormat="1" customHeight="1" s="3">
      <c r="A18" s="92" t="n">
        <v>3.2</v>
      </c>
      <c r="B18" s="91" t="n"/>
      <c r="C18" s="39" t="inlineStr">
        <is>
          <t>基坑及边坡支护</t>
        </is>
      </c>
      <c r="D18" s="39" t="n"/>
      <c r="E18" s="45" t="inlineStr">
        <is>
          <t>m</t>
        </is>
      </c>
      <c r="F18" s="41" t="n"/>
      <c r="G18" s="41" t="n"/>
      <c r="H18" s="41" t="n"/>
      <c r="I18" s="454" t="n"/>
      <c r="J18" s="452" t="inlineStr">
        <is>
          <t>地下建筑面积</t>
        </is>
      </c>
      <c r="K18" s="454" t="n"/>
      <c r="L18" s="452" t="inlineStr">
        <is>
          <t>支护长度</t>
        </is>
      </c>
    </row>
    <row r="19" outlineLevel="1" ht="25" customFormat="1" customHeight="1" s="3">
      <c r="A19" s="92" t="n">
        <v>3.3</v>
      </c>
      <c r="B19" s="91" t="n"/>
      <c r="C19" s="39" t="inlineStr">
        <is>
          <t>支撑体系</t>
        </is>
      </c>
      <c r="D19" s="39" t="n"/>
      <c r="E19" s="40" t="inlineStr">
        <is>
          <t>m³/t</t>
        </is>
      </c>
      <c r="F19" s="41" t="n"/>
      <c r="G19" s="41" t="n"/>
      <c r="H19" s="41" t="n"/>
      <c r="I19" s="454" t="n"/>
      <c r="J19" s="452" t="inlineStr">
        <is>
          <t>地下建筑面积</t>
        </is>
      </c>
      <c r="K19" s="454" t="n"/>
      <c r="L19" s="452" t="inlineStr">
        <is>
          <t>支撑方量或重量</t>
        </is>
      </c>
    </row>
    <row r="20" ht="25" customFormat="1" customHeight="1" s="3">
      <c r="A20" s="88" t="n">
        <v>4</v>
      </c>
      <c r="B20" s="89" t="n"/>
      <c r="C20" s="56" t="inlineStr">
        <is>
          <t>桩基工程</t>
        </is>
      </c>
      <c r="D20" s="56" t="n"/>
      <c r="E20" s="57" t="inlineStr">
        <is>
          <t>m³</t>
        </is>
      </c>
      <c r="F20" s="58" t="n"/>
      <c r="G20" s="58" t="n"/>
      <c r="H20" s="58" t="n"/>
      <c r="I20" s="455" t="n"/>
      <c r="J20" s="456" t="inlineStr">
        <is>
          <t>单体建筑面积</t>
        </is>
      </c>
      <c r="K20" s="455" t="n"/>
      <c r="L20" s="61" t="inlineStr">
        <is>
          <t>有效桩基总量</t>
        </is>
      </c>
    </row>
    <row r="21" outlineLevel="1" ht="25" customFormat="1" customHeight="1" s="3">
      <c r="A21" s="92" t="n">
        <v>4.1</v>
      </c>
      <c r="B21" s="91" t="n"/>
      <c r="C21" s="39" t="inlineStr">
        <is>
          <t>预制桩</t>
        </is>
      </c>
      <c r="D21" s="39" t="n"/>
      <c r="E21" s="40" t="inlineStr">
        <is>
          <t>m³</t>
        </is>
      </c>
      <c r="F21" s="41" t="n"/>
      <c r="G21" s="41" t="n"/>
      <c r="H21" s="41" t="n"/>
      <c r="I21" s="454" t="n"/>
      <c r="J21" s="452" t="inlineStr">
        <is>
          <t>单体建筑面积</t>
        </is>
      </c>
      <c r="K21" s="454" t="n"/>
      <c r="L21" s="452" t="inlineStr">
        <is>
          <t>有效桩基总方量</t>
        </is>
      </c>
    </row>
    <row r="22" outlineLevel="1" ht="25" customFormat="1" customHeight="1" s="3">
      <c r="A22" s="92" t="n">
        <v>4.2</v>
      </c>
      <c r="B22" s="91" t="n"/>
      <c r="C22" s="39" t="inlineStr">
        <is>
          <t>灌注桩</t>
        </is>
      </c>
      <c r="D22" s="39" t="n"/>
      <c r="E22" s="40" t="inlineStr">
        <is>
          <t>m³</t>
        </is>
      </c>
      <c r="F22" s="41" t="n"/>
      <c r="G22" s="41" t="n"/>
      <c r="H22" s="41" t="n"/>
      <c r="I22" s="454" t="n"/>
      <c r="J22" s="452" t="inlineStr">
        <is>
          <t>单体建筑面积</t>
        </is>
      </c>
      <c r="K22" s="454" t="n"/>
      <c r="L22" s="452" t="inlineStr">
        <is>
          <t>有效桩基总方量</t>
        </is>
      </c>
    </row>
    <row r="23" outlineLevel="1" ht="25" customFormat="1" customHeight="1" s="3">
      <c r="A23" s="92" t="n">
        <v>4.3</v>
      </c>
      <c r="B23" s="91" t="n"/>
      <c r="C23" s="39" t="inlineStr">
        <is>
          <t>其他桩</t>
        </is>
      </c>
      <c r="D23" s="39" t="n"/>
      <c r="E23" s="40" t="inlineStr">
        <is>
          <t>m³</t>
        </is>
      </c>
      <c r="F23" s="41" t="n"/>
      <c r="G23" s="41" t="n"/>
      <c r="H23" s="41" t="n"/>
      <c r="I23" s="454" t="n"/>
      <c r="J23" s="452" t="inlineStr">
        <is>
          <t>单体建筑面积</t>
        </is>
      </c>
      <c r="K23" s="454" t="n"/>
      <c r="L23" s="452" t="inlineStr">
        <is>
          <t>有效桩基总方量</t>
        </is>
      </c>
    </row>
    <row r="24" ht="25" customFormat="1" customHeight="1" s="3">
      <c r="A24" s="88" t="n">
        <v>5</v>
      </c>
      <c r="B24" s="89" t="n"/>
      <c r="C24" s="56" t="inlineStr">
        <is>
          <t>砌筑工程</t>
        </is>
      </c>
      <c r="D24" s="56" t="n"/>
      <c r="E24" s="57" t="inlineStr">
        <is>
          <t>m³</t>
        </is>
      </c>
      <c r="F24" s="58" t="n"/>
      <c r="G24" s="58" t="n"/>
      <c r="H24" s="58" t="n"/>
      <c r="I24" s="455" t="n"/>
      <c r="J24" s="456" t="inlineStr">
        <is>
          <t>单体建筑面积</t>
        </is>
      </c>
      <c r="K24" s="455" t="n"/>
      <c r="L24" s="61" t="inlineStr">
        <is>
          <t>砌筑总方量</t>
        </is>
      </c>
    </row>
    <row r="25" outlineLevel="1" ht="25" customFormat="1" customHeight="1" s="3">
      <c r="A25" s="93" t="n">
        <v>5.1</v>
      </c>
      <c r="B25" s="94" t="n"/>
      <c r="C25" s="39" t="inlineStr">
        <is>
          <t>基础及垫层</t>
        </is>
      </c>
      <c r="D25" s="39" t="n"/>
      <c r="E25" s="40" t="inlineStr">
        <is>
          <t>m³</t>
        </is>
      </c>
      <c r="F25" s="41" t="n"/>
      <c r="G25" s="41" t="n"/>
      <c r="H25" s="41" t="n"/>
      <c r="I25" s="62" t="n"/>
      <c r="J25" s="452" t="inlineStr">
        <is>
          <t>单体建筑面积</t>
        </is>
      </c>
      <c r="K25" s="62" t="n"/>
      <c r="L25" s="68" t="inlineStr">
        <is>
          <t>基础方量</t>
        </is>
      </c>
    </row>
    <row r="26" outlineLevel="1" ht="25" customFormat="1" customHeight="1" s="3">
      <c r="A26" s="93" t="n">
        <v>5.2</v>
      </c>
      <c r="B26" s="94" t="n"/>
      <c r="C26" s="39" t="inlineStr">
        <is>
          <t>砖砌体</t>
        </is>
      </c>
      <c r="D26" s="39" t="n"/>
      <c r="E26" s="40" t="inlineStr">
        <is>
          <t>m³</t>
        </is>
      </c>
      <c r="F26" s="41" t="n"/>
      <c r="G26" s="41" t="n"/>
      <c r="H26" s="41" t="n"/>
      <c r="I26" s="62" t="n"/>
      <c r="J26" s="452" t="inlineStr">
        <is>
          <t>单体建筑面积</t>
        </is>
      </c>
      <c r="K26" s="62" t="n"/>
      <c r="L26" s="68" t="inlineStr">
        <is>
          <t>砌体方量</t>
        </is>
      </c>
    </row>
    <row r="27" outlineLevel="1" ht="25" customFormat="1" customHeight="1" s="3">
      <c r="A27" s="93" t="n">
        <v>5.3</v>
      </c>
      <c r="B27" s="94" t="n"/>
      <c r="C27" s="39" t="inlineStr">
        <is>
          <t>砌块砌体</t>
        </is>
      </c>
      <c r="D27" s="39" t="n"/>
      <c r="E27" s="40" t="inlineStr">
        <is>
          <t>m³</t>
        </is>
      </c>
      <c r="F27" s="41" t="n"/>
      <c r="G27" s="41" t="n"/>
      <c r="H27" s="41" t="n"/>
      <c r="I27" s="62" t="n"/>
      <c r="J27" s="452" t="inlineStr">
        <is>
          <t>单体建筑面积</t>
        </is>
      </c>
      <c r="K27" s="62" t="n"/>
      <c r="L27" s="68" t="inlineStr">
        <is>
          <t>砌体方量</t>
        </is>
      </c>
    </row>
    <row r="28" outlineLevel="1" ht="25" customFormat="1" customHeight="1" s="3">
      <c r="A28" s="93" t="n">
        <v>5.4</v>
      </c>
      <c r="B28" s="94" t="n"/>
      <c r="C28" s="39" t="inlineStr">
        <is>
          <t>轻质墙板</t>
        </is>
      </c>
      <c r="D28" s="39" t="n"/>
      <c r="E28" s="40" t="inlineStr">
        <is>
          <t>m³</t>
        </is>
      </c>
      <c r="F28" s="41" t="n"/>
      <c r="G28" s="41" t="n"/>
      <c r="H28" s="41" t="n"/>
      <c r="I28" s="457" t="n"/>
      <c r="J28" s="452" t="inlineStr">
        <is>
          <t>单体建筑面积</t>
        </is>
      </c>
      <c r="K28" s="457" t="n"/>
      <c r="L28" s="68" t="inlineStr">
        <is>
          <t>墙板方量</t>
        </is>
      </c>
    </row>
    <row r="29" collapsed="1" ht="25" customFormat="1" customHeight="1" s="3">
      <c r="A29" s="88" t="n">
        <v>6</v>
      </c>
      <c r="B29" s="89" t="n"/>
      <c r="C29" s="56" t="inlineStr">
        <is>
          <t>混凝土及钢筋混凝土工程</t>
        </is>
      </c>
      <c r="D29" s="56" t="n"/>
      <c r="E29" s="57" t="inlineStr">
        <is>
          <t>m³</t>
        </is>
      </c>
      <c r="F29" s="58" t="n"/>
      <c r="G29" s="58" t="n"/>
      <c r="H29" s="58" t="n"/>
      <c r="I29" s="455" t="n"/>
      <c r="J29" s="456" t="inlineStr">
        <is>
          <t>单体建筑面积</t>
        </is>
      </c>
      <c r="K29" s="455" t="n"/>
      <c r="L29" s="61" t="inlineStr">
        <is>
          <t>混凝土总方量</t>
        </is>
      </c>
    </row>
    <row r="30" hidden="1" outlineLevel="1" ht="25" customFormat="1" customHeight="1" s="3">
      <c r="A30" s="93" t="n">
        <v>6.1</v>
      </c>
      <c r="B30" s="94" t="n"/>
      <c r="C30" s="39" t="inlineStr">
        <is>
          <t>现浇混凝土基础及垫层</t>
        </is>
      </c>
      <c r="D30" s="39" t="n"/>
      <c r="E30" s="40" t="inlineStr">
        <is>
          <t>m³</t>
        </is>
      </c>
      <c r="F30" s="41" t="n"/>
      <c r="G30" s="41" t="n"/>
      <c r="H30" s="41" t="n"/>
      <c r="I30" s="457" t="n"/>
      <c r="J30" s="452" t="inlineStr">
        <is>
          <t>单体建筑面积</t>
        </is>
      </c>
      <c r="K30" s="457" t="n"/>
      <c r="L30" s="48" t="inlineStr">
        <is>
          <t>混凝土方量</t>
        </is>
      </c>
    </row>
    <row r="31" hidden="1" outlineLevel="1" ht="25" customFormat="1" customHeight="1" s="3">
      <c r="A31" s="93" t="n">
        <v>6.2</v>
      </c>
      <c r="B31" s="94" t="n"/>
      <c r="C31" s="39" t="inlineStr">
        <is>
          <t>现浇混凝土构件</t>
        </is>
      </c>
      <c r="D31" s="39" t="n"/>
      <c r="E31" s="40" t="inlineStr">
        <is>
          <t>m³</t>
        </is>
      </c>
      <c r="F31" s="41" t="n"/>
      <c r="G31" s="41" t="n"/>
      <c r="H31" s="41" t="n"/>
      <c r="I31" s="457" t="n"/>
      <c r="J31" s="452" t="inlineStr">
        <is>
          <t>单体建筑面积</t>
        </is>
      </c>
      <c r="K31" s="457" t="n"/>
      <c r="L31" s="48" t="inlineStr">
        <is>
          <t>混凝土方量</t>
        </is>
      </c>
    </row>
    <row r="32" hidden="1" outlineLevel="1" ht="25" customFormat="1" customHeight="1" s="3">
      <c r="A32" s="79" t="n">
        <v>6.3</v>
      </c>
      <c r="B32" s="94" t="n"/>
      <c r="C32" s="39" t="inlineStr">
        <is>
          <t>一般预制混凝土构件</t>
        </is>
      </c>
      <c r="D32" s="39" t="n"/>
      <c r="E32" s="40" t="inlineStr">
        <is>
          <t>m³</t>
        </is>
      </c>
      <c r="F32" s="41" t="n"/>
      <c r="G32" s="41" t="n"/>
      <c r="H32" s="41" t="n"/>
      <c r="I32" s="457" t="n"/>
      <c r="J32" s="452" t="inlineStr">
        <is>
          <t>单体建筑面积</t>
        </is>
      </c>
      <c r="K32" s="457" t="n"/>
      <c r="L32" s="48" t="inlineStr">
        <is>
          <t>混凝土方量</t>
        </is>
      </c>
    </row>
    <row r="33" hidden="1" outlineLevel="1" ht="25" customFormat="1" customHeight="1" s="3">
      <c r="A33" s="79" t="n">
        <v>6.4</v>
      </c>
      <c r="B33" s="94" t="n"/>
      <c r="C33" s="39" t="inlineStr">
        <is>
          <t>装配式钢筋混凝土构件</t>
        </is>
      </c>
      <c r="D33" s="39" t="n"/>
      <c r="E33" s="40" t="inlineStr">
        <is>
          <t>m³</t>
        </is>
      </c>
      <c r="F33" s="41" t="n"/>
      <c r="G33" s="41" t="n"/>
      <c r="H33" s="41" t="n"/>
      <c r="I33" s="457" t="n"/>
      <c r="J33" s="452" t="inlineStr">
        <is>
          <t>单体建筑面积</t>
        </is>
      </c>
      <c r="K33" s="457" t="n"/>
      <c r="L33" s="48" t="inlineStr">
        <is>
          <t>混凝土方量</t>
        </is>
      </c>
    </row>
    <row r="34" hidden="1" outlineLevel="1" ht="25" customFormat="1" customHeight="1" s="3">
      <c r="A34" s="79" t="n">
        <v>6.5</v>
      </c>
      <c r="B34" s="94" t="n"/>
      <c r="C34" s="39" t="inlineStr">
        <is>
          <t>混凝土钢筋</t>
        </is>
      </c>
      <c r="D34" s="39" t="n"/>
      <c r="E34" s="68" t="inlineStr">
        <is>
          <t>t</t>
        </is>
      </c>
      <c r="F34" s="41" t="n"/>
      <c r="G34" s="41" t="n"/>
      <c r="H34" s="41" t="n"/>
      <c r="I34" s="457" t="n"/>
      <c r="J34" s="452" t="inlineStr">
        <is>
          <t>单体建筑面积</t>
        </is>
      </c>
      <c r="K34" s="457" t="n"/>
      <c r="L34" s="48" t="inlineStr">
        <is>
          <t>钢筋重量</t>
        </is>
      </c>
    </row>
    <row r="35" hidden="1" outlineLevel="1" ht="25" customFormat="1" customHeight="1" s="3">
      <c r="A35" s="79" t="n">
        <v>6.6</v>
      </c>
      <c r="B35" s="94" t="n"/>
      <c r="C35" s="39" t="inlineStr">
        <is>
          <t>混凝土模板</t>
        </is>
      </c>
      <c r="D35" s="39" t="n"/>
      <c r="E35" s="45" t="inlineStr">
        <is>
          <t>㎡</t>
        </is>
      </c>
      <c r="F35" s="41" t="n"/>
      <c r="G35" s="41" t="n"/>
      <c r="H35" s="41" t="n"/>
      <c r="I35" s="457" t="n"/>
      <c r="J35" s="452" t="inlineStr">
        <is>
          <t>单体建筑面积</t>
        </is>
      </c>
      <c r="K35" s="457" t="n"/>
      <c r="L35" s="48" t="inlineStr">
        <is>
          <t>模板总面积</t>
        </is>
      </c>
    </row>
    <row r="36" hidden="1" outlineLevel="1" ht="25" customFormat="1" customHeight="1" s="3">
      <c r="A36" s="79" t="n">
        <v>6.7</v>
      </c>
      <c r="B36" s="94" t="n"/>
      <c r="C36" s="39" t="inlineStr">
        <is>
          <t>混凝土模板及支撑</t>
        </is>
      </c>
      <c r="D36" s="39" t="n"/>
      <c r="E36" s="40" t="inlineStr">
        <is>
          <t>m³</t>
        </is>
      </c>
      <c r="F36" s="41" t="n"/>
      <c r="G36" s="41" t="n"/>
      <c r="H36" s="41" t="n"/>
      <c r="I36" s="457" t="n"/>
      <c r="J36" s="452" t="inlineStr">
        <is>
          <t>单体建筑面积</t>
        </is>
      </c>
      <c r="K36" s="457" t="n"/>
      <c r="L36" s="48" t="inlineStr">
        <is>
          <t>支撑方量</t>
        </is>
      </c>
    </row>
    <row r="37" collapsed="1" ht="25" customFormat="1" customHeight="1" s="3">
      <c r="A37" s="88" t="n">
        <v>7</v>
      </c>
      <c r="B37" s="89" t="n"/>
      <c r="C37" s="56" t="inlineStr">
        <is>
          <t>金属结构工程</t>
        </is>
      </c>
      <c r="D37" s="56" t="n"/>
      <c r="E37" s="57" t="inlineStr">
        <is>
          <t>t</t>
        </is>
      </c>
      <c r="F37" s="58" t="n"/>
      <c r="G37" s="58" t="n"/>
      <c r="H37" s="58" t="n"/>
      <c r="I37" s="455" t="n"/>
      <c r="J37" s="456" t="inlineStr">
        <is>
          <t>单体建筑面积</t>
        </is>
      </c>
      <c r="K37" s="455" t="n"/>
      <c r="L37" s="61" t="inlineStr">
        <is>
          <t>金属总重量</t>
        </is>
      </c>
    </row>
    <row r="38" hidden="1" outlineLevel="1" ht="25" customFormat="1" customHeight="1" s="3">
      <c r="A38" s="93" t="n">
        <v>7.1</v>
      </c>
      <c r="B38" s="94" t="n"/>
      <c r="C38" s="39" t="inlineStr">
        <is>
          <t>预制钢构件安装</t>
        </is>
      </c>
      <c r="D38" s="39" t="n"/>
      <c r="E38" s="68" t="inlineStr">
        <is>
          <t>t</t>
        </is>
      </c>
      <c r="F38" s="41" t="n"/>
      <c r="G38" s="41" t="n"/>
      <c r="H38" s="41" t="n"/>
      <c r="I38" s="457" t="n"/>
      <c r="J38" s="452" t="inlineStr">
        <is>
          <t>单体建筑面积</t>
        </is>
      </c>
      <c r="K38" s="457" t="n"/>
      <c r="L38" s="48" t="inlineStr">
        <is>
          <t>钢构件重量</t>
        </is>
      </c>
    </row>
    <row r="39" hidden="1" outlineLevel="1" ht="25" customFormat="1" customHeight="1" s="3">
      <c r="A39" s="93" t="n">
        <v>7.2</v>
      </c>
      <c r="B39" s="87" t="n"/>
      <c r="C39" s="73" t="inlineStr">
        <is>
          <t>钢围护体系安装</t>
        </is>
      </c>
      <c r="D39" s="73" t="n"/>
      <c r="E39" s="45" t="inlineStr">
        <is>
          <t>㎡</t>
        </is>
      </c>
      <c r="F39" s="74" t="n"/>
      <c r="G39" s="74" t="n"/>
      <c r="H39" s="74" t="n"/>
      <c r="I39" s="457" t="n"/>
      <c r="J39" s="452" t="inlineStr">
        <is>
          <t>单体建筑面积</t>
        </is>
      </c>
      <c r="K39" s="457" t="n"/>
      <c r="L39" s="48" t="inlineStr">
        <is>
          <t>钢围护面积</t>
        </is>
      </c>
    </row>
    <row r="40" hidden="1" outlineLevel="1" ht="25" customFormat="1" customHeight="1" s="3">
      <c r="A40" s="79" t="n">
        <v>7.3</v>
      </c>
      <c r="B40" s="94" t="n"/>
      <c r="C40" s="39" t="inlineStr">
        <is>
          <t>钢构件现场制作及安装</t>
        </is>
      </c>
      <c r="D40" s="39" t="n"/>
      <c r="E40" s="68" t="inlineStr">
        <is>
          <t>t</t>
        </is>
      </c>
      <c r="F40" s="41" t="n"/>
      <c r="G40" s="41" t="n"/>
      <c r="H40" s="41" t="n"/>
      <c r="I40" s="457" t="n"/>
      <c r="J40" s="452" t="inlineStr">
        <is>
          <t>单体建筑面积</t>
        </is>
      </c>
      <c r="K40" s="457" t="n"/>
      <c r="L40" s="48" t="inlineStr">
        <is>
          <t>钢构件重量</t>
        </is>
      </c>
    </row>
    <row r="41" collapsed="1" ht="25" customFormat="1" customHeight="1" s="3">
      <c r="A41" s="88" t="n">
        <v>8</v>
      </c>
      <c r="B41" s="88" t="n"/>
      <c r="C41" s="88" t="inlineStr">
        <is>
          <t>木结构工程</t>
        </is>
      </c>
      <c r="D41" s="88" t="n"/>
      <c r="E41" s="95" t="inlineStr">
        <is>
          <t>m³</t>
        </is>
      </c>
      <c r="F41" s="56" t="n"/>
      <c r="G41" s="56" t="n"/>
      <c r="H41" s="56" t="n"/>
      <c r="I41" s="455" t="n"/>
      <c r="J41" s="455" t="inlineStr">
        <is>
          <t>单体建筑面积</t>
        </is>
      </c>
      <c r="K41" s="455" t="n"/>
      <c r="L41" s="458" t="inlineStr">
        <is>
          <t>木结构总方量</t>
        </is>
      </c>
    </row>
    <row r="42" hidden="1" outlineLevel="1" ht="25" customFormat="1" customHeight="1" s="3">
      <c r="A42" s="93" t="n">
        <v>8.1</v>
      </c>
      <c r="B42" s="94" t="n"/>
      <c r="C42" s="39" t="inlineStr">
        <is>
          <t>木屋架</t>
        </is>
      </c>
      <c r="D42" s="39" t="n"/>
      <c r="E42" s="68" t="inlineStr">
        <is>
          <t>m³</t>
        </is>
      </c>
      <c r="F42" s="41" t="n"/>
      <c r="G42" s="41" t="n"/>
      <c r="H42" s="41" t="n"/>
      <c r="I42" s="457" t="n"/>
      <c r="J42" s="452" t="inlineStr">
        <is>
          <t>单体建筑面积</t>
        </is>
      </c>
      <c r="K42" s="457" t="n"/>
      <c r="L42" s="48" t="inlineStr">
        <is>
          <t>木结构方量</t>
        </is>
      </c>
    </row>
    <row r="43" hidden="1" outlineLevel="1" ht="25" customFormat="1" customHeight="1" s="3">
      <c r="A43" s="97" t="n">
        <v>8.199999999999999</v>
      </c>
      <c r="B43" s="94" t="n"/>
      <c r="C43" s="39" t="inlineStr">
        <is>
          <t>其他木构件</t>
        </is>
      </c>
      <c r="D43" s="39" t="n"/>
      <c r="E43" s="68" t="inlineStr">
        <is>
          <t>m³</t>
        </is>
      </c>
      <c r="F43" s="41" t="n"/>
      <c r="G43" s="41" t="n"/>
      <c r="H43" s="41" t="n"/>
      <c r="I43" s="457" t="n"/>
      <c r="J43" s="452" t="inlineStr">
        <is>
          <t>单体建筑面积</t>
        </is>
      </c>
      <c r="K43" s="457" t="n"/>
      <c r="L43" s="48" t="inlineStr">
        <is>
          <t>木结构方量</t>
        </is>
      </c>
    </row>
    <row r="44" hidden="1" outlineLevel="1" ht="25" customFormat="1" customHeight="1" s="3">
      <c r="A44" s="97" t="n">
        <v>8.300000000000001</v>
      </c>
      <c r="B44" s="94" t="n"/>
      <c r="C44" s="39" t="inlineStr">
        <is>
          <t>屋面木基层</t>
        </is>
      </c>
      <c r="D44" s="39" t="n"/>
      <c r="E44" s="68" t="inlineStr">
        <is>
          <t>m³</t>
        </is>
      </c>
      <c r="F44" s="41" t="n"/>
      <c r="G44" s="41" t="n"/>
      <c r="H44" s="41" t="n"/>
      <c r="I44" s="457" t="n"/>
      <c r="J44" s="452" t="inlineStr">
        <is>
          <t>单体建筑面积</t>
        </is>
      </c>
      <c r="K44" s="457" t="n"/>
      <c r="L44" s="48" t="inlineStr">
        <is>
          <t>木结构方量</t>
        </is>
      </c>
    </row>
    <row r="45" collapsed="1" ht="25" customFormat="1" customHeight="1" s="3">
      <c r="A45" s="88" t="n">
        <v>9</v>
      </c>
      <c r="B45" s="89" t="n"/>
      <c r="C45" s="56" t="inlineStr">
        <is>
          <t>门窗工程</t>
        </is>
      </c>
      <c r="D45" s="56" t="n"/>
      <c r="E45" s="57" t="inlineStr">
        <is>
          <t>㎡</t>
        </is>
      </c>
      <c r="F45" s="58" t="n"/>
      <c r="G45" s="58" t="n"/>
      <c r="H45" s="58" t="n"/>
      <c r="I45" s="455" t="n"/>
      <c r="J45" s="456" t="inlineStr">
        <is>
          <t>单体建筑面积</t>
        </is>
      </c>
      <c r="K45" s="455" t="n"/>
      <c r="L45" s="61" t="inlineStr">
        <is>
          <t>门窗总面积</t>
        </is>
      </c>
    </row>
    <row r="46" hidden="1" outlineLevel="1" ht="25" customFormat="1" customHeight="1" s="3">
      <c r="A46" s="93" t="n">
        <v>9.1</v>
      </c>
      <c r="B46" s="98" t="n"/>
      <c r="C46" s="99" t="inlineStr">
        <is>
          <t>门</t>
        </is>
      </c>
      <c r="D46" s="78" t="n"/>
      <c r="E46" s="68" t="inlineStr">
        <is>
          <t>㎡</t>
        </is>
      </c>
      <c r="F46" s="79" t="n"/>
      <c r="G46" s="79" t="n"/>
      <c r="H46" s="79" t="n"/>
      <c r="I46" s="457" t="n"/>
      <c r="J46" s="452" t="inlineStr">
        <is>
          <t>单体建筑面积</t>
        </is>
      </c>
      <c r="K46" s="457" t="n"/>
      <c r="L46" s="48" t="inlineStr">
        <is>
          <t>门总面积</t>
        </is>
      </c>
    </row>
    <row r="47" hidden="1" outlineLevel="1" ht="25" customFormat="1" customHeight="1" s="3">
      <c r="A47" s="93" t="n">
        <v>9.199999999999999</v>
      </c>
      <c r="B47" s="98" t="n"/>
      <c r="C47" s="99" t="inlineStr">
        <is>
          <t>窗</t>
        </is>
      </c>
      <c r="D47" s="78" t="n"/>
      <c r="E47" s="68" t="inlineStr">
        <is>
          <t>㎡</t>
        </is>
      </c>
      <c r="F47" s="79" t="n"/>
      <c r="G47" s="79" t="n"/>
      <c r="H47" s="79" t="n"/>
      <c r="I47" s="457" t="n"/>
      <c r="J47" s="452" t="inlineStr">
        <is>
          <t>单体建筑面积</t>
        </is>
      </c>
      <c r="K47" s="457" t="n"/>
      <c r="L47" s="48" t="inlineStr">
        <is>
          <t>窗总面积</t>
        </is>
      </c>
    </row>
    <row r="48" hidden="1" outlineLevel="1" ht="25" customFormat="1" customHeight="1" s="3">
      <c r="A48" s="93" t="n">
        <v>9.300000000000001</v>
      </c>
      <c r="B48" s="98" t="n"/>
      <c r="C48" s="100" t="inlineStr">
        <is>
          <t>门钢架、门窗套等门窗装饰</t>
        </is>
      </c>
      <c r="D48" s="80" t="n"/>
      <c r="E48" s="68" t="inlineStr">
        <is>
          <t>㎡</t>
        </is>
      </c>
      <c r="F48" s="81" t="n"/>
      <c r="G48" s="81" t="n"/>
      <c r="H48" s="81" t="n"/>
      <c r="I48" s="457" t="n"/>
      <c r="J48" s="452" t="inlineStr">
        <is>
          <t>单体建筑面积</t>
        </is>
      </c>
      <c r="K48" s="457" t="n"/>
      <c r="L48" s="48" t="inlineStr">
        <is>
          <t>门窗装饰总面积</t>
        </is>
      </c>
    </row>
    <row r="49" collapsed="1" ht="25" customFormat="1" customHeight="1" s="3">
      <c r="A49" s="88" t="n">
        <v>10</v>
      </c>
      <c r="B49" s="89" t="n"/>
      <c r="C49" s="56" t="inlineStr">
        <is>
          <t>屋面工程</t>
        </is>
      </c>
      <c r="D49" s="56" t="n"/>
      <c r="E49" s="57" t="inlineStr">
        <is>
          <t>㎡</t>
        </is>
      </c>
      <c r="F49" s="58" t="n"/>
      <c r="G49" s="58" t="n"/>
      <c r="H49" s="58" t="n"/>
      <c r="I49" s="455" t="n"/>
      <c r="J49" s="456" t="inlineStr">
        <is>
          <t>单体建筑面积</t>
        </is>
      </c>
      <c r="K49" s="455" t="n"/>
      <c r="L49" s="61" t="inlineStr">
        <is>
          <t>屋面总面积</t>
        </is>
      </c>
    </row>
    <row r="50" hidden="1" outlineLevel="1" ht="25" customFormat="1" customHeight="1" s="3">
      <c r="A50" s="93" t="n">
        <v>10.1</v>
      </c>
      <c r="B50" s="94" t="n"/>
      <c r="C50" s="39" t="inlineStr">
        <is>
          <t>刚性屋面</t>
        </is>
      </c>
      <c r="D50" s="39" t="n"/>
      <c r="E50" s="68" t="inlineStr">
        <is>
          <t>㎡</t>
        </is>
      </c>
      <c r="F50" s="41" t="n"/>
      <c r="G50" s="41" t="n"/>
      <c r="H50" s="41" t="n"/>
      <c r="I50" s="457" t="n"/>
      <c r="J50" s="452" t="inlineStr">
        <is>
          <t>单体建筑面积</t>
        </is>
      </c>
      <c r="K50" s="457" t="n"/>
      <c r="L50" s="48" t="inlineStr">
        <is>
          <t>屋面面积</t>
        </is>
      </c>
    </row>
    <row r="51" hidden="1" outlineLevel="1" ht="25" customFormat="1" customHeight="1" s="3">
      <c r="A51" s="93" t="n">
        <v>10.2</v>
      </c>
      <c r="B51" s="94" t="n"/>
      <c r="C51" s="73" t="inlineStr">
        <is>
          <t>防水屋面</t>
        </is>
      </c>
      <c r="D51" s="73" t="n"/>
      <c r="E51" s="68" t="inlineStr">
        <is>
          <t>㎡</t>
        </is>
      </c>
      <c r="F51" s="74" t="n"/>
      <c r="G51" s="74" t="n"/>
      <c r="H51" s="74" t="n"/>
      <c r="I51" s="457" t="n"/>
      <c r="J51" s="452" t="inlineStr">
        <is>
          <t>单体建筑面积</t>
        </is>
      </c>
      <c r="K51" s="457" t="n"/>
      <c r="L51" s="48" t="inlineStr">
        <is>
          <t>屋面面积</t>
        </is>
      </c>
    </row>
    <row r="52" hidden="1" outlineLevel="1" ht="25" customFormat="1" customHeight="1" s="3">
      <c r="A52" s="93" t="n">
        <v>10.3</v>
      </c>
      <c r="B52" s="94" t="n"/>
      <c r="C52" s="39" t="inlineStr">
        <is>
          <t>瓦屋面</t>
        </is>
      </c>
      <c r="D52" s="39" t="n"/>
      <c r="E52" s="68" t="inlineStr">
        <is>
          <t>㎡</t>
        </is>
      </c>
      <c r="F52" s="41" t="n"/>
      <c r="G52" s="41" t="n"/>
      <c r="H52" s="41" t="n"/>
      <c r="I52" s="457" t="n"/>
      <c r="J52" s="452" t="inlineStr">
        <is>
          <t>单体建筑面积</t>
        </is>
      </c>
      <c r="K52" s="457" t="n"/>
      <c r="L52" s="48" t="inlineStr">
        <is>
          <t>屋面面积</t>
        </is>
      </c>
    </row>
    <row r="53" hidden="1" outlineLevel="1" ht="25" customFormat="1" customHeight="1" s="3">
      <c r="A53" s="93" t="n">
        <v>10.4</v>
      </c>
      <c r="B53" s="94" t="n"/>
      <c r="C53" s="39" t="inlineStr">
        <is>
          <t>其他屋面</t>
        </is>
      </c>
      <c r="D53" s="39" t="n"/>
      <c r="E53" s="68" t="inlineStr">
        <is>
          <t>㎡</t>
        </is>
      </c>
      <c r="F53" s="41" t="n"/>
      <c r="G53" s="41" t="n"/>
      <c r="H53" s="41" t="n"/>
      <c r="I53" s="457" t="n"/>
      <c r="J53" s="452" t="inlineStr">
        <is>
          <t>单体建筑面积</t>
        </is>
      </c>
      <c r="K53" s="457" t="n"/>
      <c r="L53" s="48" t="inlineStr">
        <is>
          <t>屋面面积</t>
        </is>
      </c>
    </row>
    <row r="54" hidden="1" outlineLevel="1" ht="25" customFormat="1" customHeight="1" s="4">
      <c r="A54" s="93" t="n">
        <v>10.5</v>
      </c>
      <c r="B54" s="94" t="n"/>
      <c r="C54" s="39" t="inlineStr">
        <is>
          <t>屋面排水</t>
        </is>
      </c>
      <c r="D54" s="39" t="n"/>
      <c r="E54" s="68" t="inlineStr">
        <is>
          <t>m</t>
        </is>
      </c>
      <c r="F54" s="41" t="n"/>
      <c r="G54" s="41" t="n"/>
      <c r="H54" s="41" t="n"/>
      <c r="I54" s="457" t="n"/>
      <c r="J54" s="452" t="inlineStr">
        <is>
          <t>单体建筑面积</t>
        </is>
      </c>
      <c r="K54" s="457" t="n"/>
      <c r="L54" s="48" t="inlineStr">
        <is>
          <t>排水长度</t>
        </is>
      </c>
    </row>
    <row r="55" collapsed="1" ht="25" customFormat="1" customHeight="1" s="3">
      <c r="A55" s="88" t="n">
        <v>11</v>
      </c>
      <c r="B55" s="89" t="n"/>
      <c r="C55" s="56" t="inlineStr">
        <is>
          <t>防水防护及变形缝工程</t>
        </is>
      </c>
      <c r="D55" s="56" t="n"/>
      <c r="E55" s="57" t="inlineStr">
        <is>
          <t>㎡</t>
        </is>
      </c>
      <c r="F55" s="58" t="n"/>
      <c r="G55" s="58" t="n"/>
      <c r="H55" s="58" t="n"/>
      <c r="I55" s="455" t="n"/>
      <c r="J55" s="456" t="inlineStr">
        <is>
          <t>单体建筑面积</t>
        </is>
      </c>
      <c r="K55" s="455" t="n"/>
      <c r="L55" s="61" t="inlineStr">
        <is>
          <t>防水总面积</t>
        </is>
      </c>
    </row>
    <row r="56" hidden="1" outlineLevel="1" ht="25" customFormat="1" customHeight="1" s="3">
      <c r="A56" s="93" t="n">
        <v>11.1</v>
      </c>
      <c r="B56" s="94" t="n"/>
      <c r="C56" s="44" t="inlineStr">
        <is>
          <t>地下室防水防护</t>
        </is>
      </c>
      <c r="D56" s="44" t="n"/>
      <c r="E56" s="68" t="inlineStr">
        <is>
          <t>㎡</t>
        </is>
      </c>
      <c r="F56" s="46" t="n"/>
      <c r="G56" s="46" t="n"/>
      <c r="H56" s="46" t="n"/>
      <c r="I56" s="457" t="n"/>
      <c r="J56" s="452" t="inlineStr">
        <is>
          <t>单体建筑面积</t>
        </is>
      </c>
      <c r="K56" s="457" t="n"/>
      <c r="L56" s="48" t="inlineStr">
        <is>
          <t>防水防护总面积</t>
        </is>
      </c>
    </row>
    <row r="57" hidden="1" outlineLevel="1" ht="25" customFormat="1" customHeight="1" s="3">
      <c r="A57" s="93" t="n">
        <v>11.2</v>
      </c>
      <c r="B57" s="94" t="n"/>
      <c r="C57" s="39" t="inlineStr">
        <is>
          <t>地上外墙防水</t>
        </is>
      </c>
      <c r="D57" s="39" t="n"/>
      <c r="E57" s="68" t="inlineStr">
        <is>
          <t>㎡</t>
        </is>
      </c>
      <c r="F57" s="41" t="n"/>
      <c r="G57" s="41" t="n"/>
      <c r="H57" s="41" t="n"/>
      <c r="I57" s="457" t="n"/>
      <c r="J57" s="452" t="inlineStr">
        <is>
          <t>单体建筑面积</t>
        </is>
      </c>
      <c r="K57" s="457" t="n"/>
      <c r="L57" s="48" t="inlineStr">
        <is>
          <t>防水面积</t>
        </is>
      </c>
    </row>
    <row r="58" hidden="1" outlineLevel="1" ht="25" customFormat="1" customHeight="1" s="3">
      <c r="A58" s="93" t="n">
        <v>11.3</v>
      </c>
      <c r="B58" s="94" t="n"/>
      <c r="C58" s="39" t="inlineStr">
        <is>
          <t>地上室内防水</t>
        </is>
      </c>
      <c r="D58" s="39" t="n"/>
      <c r="E58" s="68" t="inlineStr">
        <is>
          <t>㎡</t>
        </is>
      </c>
      <c r="F58" s="41" t="n"/>
      <c r="G58" s="41" t="n"/>
      <c r="H58" s="41" t="n"/>
      <c r="I58" s="457" t="n"/>
      <c r="J58" s="452" t="inlineStr">
        <is>
          <t>单体建筑面积</t>
        </is>
      </c>
      <c r="K58" s="457" t="n"/>
      <c r="L58" s="48" t="inlineStr">
        <is>
          <t>防水面积</t>
        </is>
      </c>
    </row>
    <row r="59" hidden="1" outlineLevel="1" ht="25" customFormat="1" customHeight="1" s="3">
      <c r="A59" s="93" t="n">
        <v>11.4</v>
      </c>
      <c r="B59" s="94" t="n"/>
      <c r="C59" s="39" t="inlineStr">
        <is>
          <t>建筑变形缝与止水带</t>
        </is>
      </c>
      <c r="D59" s="39" t="n"/>
      <c r="E59" s="68" t="inlineStr">
        <is>
          <t>m</t>
        </is>
      </c>
      <c r="F59" s="41" t="n"/>
      <c r="G59" s="41" t="n"/>
      <c r="H59" s="41" t="n"/>
      <c r="I59" s="457" t="n"/>
      <c r="J59" s="452" t="inlineStr">
        <is>
          <t>单体建筑面积</t>
        </is>
      </c>
      <c r="K59" s="457" t="n"/>
      <c r="L59" s="48" t="inlineStr">
        <is>
          <t>变形缝与止水带长度</t>
        </is>
      </c>
    </row>
    <row r="60" collapsed="1" ht="25" customFormat="1" customHeight="1" s="3">
      <c r="A60" s="88" t="n">
        <v>12</v>
      </c>
      <c r="B60" s="89" t="n"/>
      <c r="C60" s="56" t="inlineStr">
        <is>
          <t>保温、隔热、防腐工程</t>
        </is>
      </c>
      <c r="D60" s="56" t="n"/>
      <c r="E60" s="57" t="inlineStr">
        <is>
          <t>㎡</t>
        </is>
      </c>
      <c r="F60" s="58" t="n"/>
      <c r="G60" s="58" t="n"/>
      <c r="H60" s="58" t="n"/>
      <c r="I60" s="455" t="n"/>
      <c r="J60" s="456" t="inlineStr">
        <is>
          <t>单体建筑面积</t>
        </is>
      </c>
      <c r="K60" s="455" t="n"/>
      <c r="L60" s="61" t="inlineStr">
        <is>
          <t>保温总面积</t>
        </is>
      </c>
    </row>
    <row r="61" hidden="1" outlineLevel="1" ht="25" customFormat="1" customHeight="1" s="3">
      <c r="A61" s="93" t="n">
        <v>12.1</v>
      </c>
      <c r="B61" s="98" t="n"/>
      <c r="C61" s="99" t="inlineStr">
        <is>
          <t>保温、隔热</t>
        </is>
      </c>
      <c r="D61" s="78" t="n"/>
      <c r="E61" s="68" t="inlineStr">
        <is>
          <t>㎡</t>
        </is>
      </c>
      <c r="F61" s="79" t="n"/>
      <c r="G61" s="79" t="n"/>
      <c r="H61" s="79" t="n"/>
      <c r="I61" s="457" t="n"/>
      <c r="J61" s="452" t="inlineStr">
        <is>
          <t>单体建筑面积</t>
        </is>
      </c>
      <c r="K61" s="457" t="n"/>
      <c r="L61" s="48" t="inlineStr">
        <is>
          <t>保温面积</t>
        </is>
      </c>
    </row>
    <row r="62" hidden="1" outlineLevel="1" ht="25" customFormat="1" customHeight="1" s="3">
      <c r="A62" s="93" t="n">
        <v>12.2</v>
      </c>
      <c r="B62" s="94" t="n"/>
      <c r="C62" s="39" t="inlineStr">
        <is>
          <t>防腐</t>
        </is>
      </c>
      <c r="D62" s="39" t="n"/>
      <c r="E62" s="68" t="inlineStr">
        <is>
          <t>㎡</t>
        </is>
      </c>
      <c r="F62" s="41" t="n"/>
      <c r="G62" s="41" t="n"/>
      <c r="H62" s="41" t="n"/>
      <c r="I62" s="457" t="n"/>
      <c r="J62" s="452" t="inlineStr">
        <is>
          <t>单体建筑面积</t>
        </is>
      </c>
      <c r="K62" s="457" t="n"/>
      <c r="L62" s="48" t="inlineStr">
        <is>
          <t>防腐面积</t>
        </is>
      </c>
    </row>
    <row r="63" hidden="1" outlineLevel="1" ht="25" customFormat="1" customHeight="1" s="3">
      <c r="A63" s="93" t="n">
        <v>12.3</v>
      </c>
      <c r="B63" s="94" t="n"/>
      <c r="C63" s="39" t="inlineStr">
        <is>
          <t>吸声隔音</t>
        </is>
      </c>
      <c r="D63" s="39" t="n"/>
      <c r="E63" s="68" t="inlineStr">
        <is>
          <t>㎡</t>
        </is>
      </c>
      <c r="F63" s="41" t="n"/>
      <c r="G63" s="41" t="n"/>
      <c r="H63" s="41" t="n"/>
      <c r="I63" s="457" t="n"/>
      <c r="J63" s="452" t="inlineStr">
        <is>
          <t>单体建筑面积</t>
        </is>
      </c>
      <c r="K63" s="457" t="n"/>
      <c r="L63" s="48" t="inlineStr">
        <is>
          <t>吸声隔音面积</t>
        </is>
      </c>
    </row>
    <row r="64" collapsed="1" ht="25" customFormat="1" customHeight="1" s="3">
      <c r="A64" s="88" t="n">
        <v>13</v>
      </c>
      <c r="B64" s="89" t="n"/>
      <c r="C64" s="56" t="inlineStr">
        <is>
          <t>外墙装饰及幕墙工程</t>
        </is>
      </c>
      <c r="D64" s="56" t="n"/>
      <c r="E64" s="57" t="inlineStr">
        <is>
          <t>㎡</t>
        </is>
      </c>
      <c r="F64" s="58" t="n"/>
      <c r="G64" s="58" t="n"/>
      <c r="H64" s="58" t="n"/>
      <c r="I64" s="455" t="n"/>
      <c r="J64" s="456" t="inlineStr">
        <is>
          <t>单体建筑面积</t>
        </is>
      </c>
      <c r="K64" s="455" t="n"/>
      <c r="L64" s="61" t="inlineStr">
        <is>
          <t>外墙或幕墙总面积</t>
        </is>
      </c>
    </row>
    <row r="65" hidden="1" outlineLevel="1" ht="25" customFormat="1" customHeight="1" s="3">
      <c r="A65" s="93" t="n">
        <v>13.1</v>
      </c>
      <c r="B65" s="98" t="n"/>
      <c r="C65" s="99" t="inlineStr">
        <is>
          <t>块料外墙装饰</t>
        </is>
      </c>
      <c r="D65" s="78" t="n"/>
      <c r="E65" s="68" t="inlineStr">
        <is>
          <t>㎡</t>
        </is>
      </c>
      <c r="F65" s="79" t="n"/>
      <c r="G65" s="79" t="n"/>
      <c r="H65" s="79" t="n"/>
      <c r="I65" s="457" t="n"/>
      <c r="J65" s="452" t="inlineStr">
        <is>
          <t>单体建筑面积</t>
        </is>
      </c>
      <c r="K65" s="457" t="n"/>
      <c r="L65" s="48" t="inlineStr">
        <is>
          <t>外墙面积</t>
        </is>
      </c>
    </row>
    <row r="66" hidden="1" outlineLevel="1" ht="25" customFormat="1" customHeight="1" s="3">
      <c r="A66" s="93" t="n">
        <v>13.2</v>
      </c>
      <c r="B66" s="98" t="n"/>
      <c r="C66" s="99" t="inlineStr">
        <is>
          <t>涂料外墙装饰</t>
        </is>
      </c>
      <c r="D66" s="78" t="n"/>
      <c r="E66" s="68" t="inlineStr">
        <is>
          <t>㎡</t>
        </is>
      </c>
      <c r="F66" s="79" t="n"/>
      <c r="G66" s="79" t="n"/>
      <c r="H66" s="79" t="n"/>
      <c r="I66" s="457" t="n"/>
      <c r="J66" s="452" t="inlineStr">
        <is>
          <t>单体建筑面积</t>
        </is>
      </c>
      <c r="K66" s="457" t="n"/>
      <c r="L66" s="48" t="inlineStr">
        <is>
          <t>外墙面积</t>
        </is>
      </c>
    </row>
    <row r="67" hidden="1" outlineLevel="1" ht="25" customFormat="1" customHeight="1" s="3">
      <c r="A67" s="93" t="n">
        <v>13.4</v>
      </c>
      <c r="B67" s="98" t="n"/>
      <c r="C67" s="100" t="inlineStr">
        <is>
          <t>玻璃幕墙</t>
        </is>
      </c>
      <c r="D67" s="80" t="n"/>
      <c r="E67" s="68" t="inlineStr">
        <is>
          <t>㎡</t>
        </is>
      </c>
      <c r="F67" s="81" t="n"/>
      <c r="G67" s="81" t="n"/>
      <c r="H67" s="81" t="n"/>
      <c r="I67" s="457" t="n"/>
      <c r="J67" s="452" t="inlineStr">
        <is>
          <t>单体建筑面积</t>
        </is>
      </c>
      <c r="K67" s="457" t="n"/>
      <c r="L67" s="48" t="inlineStr">
        <is>
          <t>幕墙面积</t>
        </is>
      </c>
    </row>
    <row r="68" hidden="1" outlineLevel="1" ht="25" customFormat="1" customHeight="1" s="3">
      <c r="A68" s="93" t="n">
        <v>13.5</v>
      </c>
      <c r="B68" s="98" t="n"/>
      <c r="C68" s="100" t="inlineStr">
        <is>
          <t>石材幕墙</t>
        </is>
      </c>
      <c r="D68" s="80" t="n"/>
      <c r="E68" s="68" t="inlineStr">
        <is>
          <t>㎡</t>
        </is>
      </c>
      <c r="F68" s="81" t="n"/>
      <c r="G68" s="81" t="n"/>
      <c r="H68" s="81" t="n"/>
      <c r="I68" s="457" t="n"/>
      <c r="J68" s="452" t="inlineStr">
        <is>
          <t>单体建筑面积</t>
        </is>
      </c>
      <c r="K68" s="457" t="n"/>
      <c r="L68" s="48" t="inlineStr">
        <is>
          <t>幕墙面积</t>
        </is>
      </c>
    </row>
    <row r="69" hidden="1" outlineLevel="1" ht="25" customFormat="1" customHeight="1" s="3">
      <c r="A69" s="93" t="n">
        <v>13.6</v>
      </c>
      <c r="B69" s="98" t="n"/>
      <c r="C69" s="100" t="inlineStr">
        <is>
          <t>金属板幕墙</t>
        </is>
      </c>
      <c r="D69" s="80" t="n"/>
      <c r="E69" s="68" t="inlineStr">
        <is>
          <t>㎡</t>
        </is>
      </c>
      <c r="F69" s="81" t="n"/>
      <c r="G69" s="81" t="n"/>
      <c r="H69" s="81" t="n"/>
      <c r="I69" s="457" t="n"/>
      <c r="J69" s="452" t="inlineStr">
        <is>
          <t>单体建筑面积</t>
        </is>
      </c>
      <c r="K69" s="457" t="n"/>
      <c r="L69" s="48" t="inlineStr">
        <is>
          <t>幕墙面积</t>
        </is>
      </c>
    </row>
    <row r="70" hidden="1" outlineLevel="1" ht="25" customFormat="1" customHeight="1" s="3">
      <c r="A70" s="93" t="n">
        <v>13.7</v>
      </c>
      <c r="B70" s="94" t="n"/>
      <c r="C70" s="101" t="inlineStr">
        <is>
          <t>其他幕墙</t>
        </is>
      </c>
      <c r="D70" s="80" t="n"/>
      <c r="E70" s="68" t="inlineStr">
        <is>
          <t>㎡</t>
        </is>
      </c>
      <c r="F70" s="81" t="n"/>
      <c r="G70" s="81" t="n"/>
      <c r="H70" s="81" t="n"/>
      <c r="I70" s="457" t="n"/>
      <c r="J70" s="452" t="inlineStr">
        <is>
          <t>单体建筑面积</t>
        </is>
      </c>
      <c r="K70" s="457" t="n"/>
      <c r="L70" s="48" t="inlineStr">
        <is>
          <t>幕墙面积</t>
        </is>
      </c>
    </row>
    <row r="71" hidden="1" outlineLevel="1" ht="25" customFormat="1" customHeight="1" s="3">
      <c r="A71" s="93" t="n">
        <v>13.8</v>
      </c>
      <c r="B71" s="94" t="n"/>
      <c r="C71" s="101" t="inlineStr">
        <is>
          <t>采光顶与玻璃雨篷</t>
        </is>
      </c>
      <c r="D71" s="80" t="n"/>
      <c r="E71" s="68" t="inlineStr">
        <is>
          <t>㎡</t>
        </is>
      </c>
      <c r="F71" s="81" t="n"/>
      <c r="G71" s="81" t="n"/>
      <c r="H71" s="81" t="n"/>
      <c r="I71" s="457" t="n"/>
      <c r="J71" s="452" t="inlineStr">
        <is>
          <t>单体建筑面积</t>
        </is>
      </c>
      <c r="K71" s="457" t="n"/>
      <c r="L71" s="48" t="inlineStr">
        <is>
          <t>采光顶与玻璃雨篷面积</t>
        </is>
      </c>
    </row>
    <row r="72" collapsed="1" ht="25" customFormat="1" customHeight="1" s="3">
      <c r="A72" s="88" t="n">
        <v>14</v>
      </c>
      <c r="B72" s="89" t="n"/>
      <c r="C72" s="56" t="inlineStr">
        <is>
          <t>楼地面装饰工程</t>
        </is>
      </c>
      <c r="D72" s="56" t="n"/>
      <c r="E72" s="57" t="inlineStr">
        <is>
          <t>㎡</t>
        </is>
      </c>
      <c r="F72" s="58" t="n"/>
      <c r="G72" s="58" t="n"/>
      <c r="H72" s="58" t="n"/>
      <c r="I72" s="455" t="n"/>
      <c r="J72" s="456" t="inlineStr">
        <is>
          <t>单体建筑面积</t>
        </is>
      </c>
      <c r="K72" s="455" t="n"/>
      <c r="L72" s="61" t="inlineStr">
        <is>
          <t>楼地面总面积</t>
        </is>
      </c>
    </row>
    <row r="73" hidden="1" outlineLevel="1" ht="25" customFormat="1" customHeight="1" s="3">
      <c r="A73" s="93" t="n">
        <v>14.1</v>
      </c>
      <c r="B73" s="98" t="n"/>
      <c r="C73" s="102" t="inlineStr">
        <is>
          <t>地面垫层</t>
        </is>
      </c>
      <c r="D73" s="103" t="n"/>
      <c r="E73" s="68" t="inlineStr">
        <is>
          <t>㎡</t>
        </is>
      </c>
      <c r="F73" s="104" t="n"/>
      <c r="G73" s="104" t="n"/>
      <c r="H73" s="104" t="n"/>
      <c r="I73" s="457" t="n"/>
      <c r="J73" s="452" t="inlineStr">
        <is>
          <t>单体建筑面积</t>
        </is>
      </c>
      <c r="K73" s="457" t="n"/>
      <c r="L73" s="48" t="inlineStr">
        <is>
          <t>地面垫层面积</t>
        </is>
      </c>
    </row>
    <row r="74" hidden="1" outlineLevel="1" ht="25" customFormat="1" customHeight="1" s="3">
      <c r="A74" s="93" t="n">
        <v>14.2</v>
      </c>
      <c r="B74" s="98" t="n"/>
      <c r="C74" s="105" t="inlineStr">
        <is>
          <t>找平层及整体面层</t>
        </is>
      </c>
      <c r="D74" s="106" t="n"/>
      <c r="E74" s="68" t="inlineStr">
        <is>
          <t>㎡</t>
        </is>
      </c>
      <c r="F74" s="107" t="n"/>
      <c r="G74" s="107" t="n"/>
      <c r="H74" s="107" t="n"/>
      <c r="I74" s="457" t="n"/>
      <c r="J74" s="452" t="inlineStr">
        <is>
          <t>单体建筑面积</t>
        </is>
      </c>
      <c r="K74" s="457" t="n"/>
      <c r="L74" s="48" t="inlineStr">
        <is>
          <t>找平层及整体面层面积</t>
        </is>
      </c>
    </row>
    <row r="75" hidden="1" outlineLevel="1" ht="25" customFormat="1" customHeight="1" s="3">
      <c r="A75" s="93" t="n">
        <v>14.3</v>
      </c>
      <c r="B75" s="98" t="n"/>
      <c r="C75" s="105" t="inlineStr">
        <is>
          <t>块料面层楼地面装饰</t>
        </is>
      </c>
      <c r="D75" s="106" t="n"/>
      <c r="E75" s="68" t="inlineStr">
        <is>
          <t>㎡</t>
        </is>
      </c>
      <c r="F75" s="107" t="n"/>
      <c r="G75" s="107" t="n"/>
      <c r="H75" s="107" t="n"/>
      <c r="I75" s="457" t="n"/>
      <c r="J75" s="452" t="inlineStr">
        <is>
          <t>单体建筑面积</t>
        </is>
      </c>
      <c r="K75" s="457" t="n"/>
      <c r="L75" s="48" t="inlineStr">
        <is>
          <t>块料面层面积</t>
        </is>
      </c>
    </row>
    <row r="76" hidden="1" outlineLevel="1" ht="25" customFormat="1" customHeight="1" s="3">
      <c r="A76" s="93" t="n">
        <v>14.4</v>
      </c>
      <c r="B76" s="98" t="n"/>
      <c r="C76" s="105" t="inlineStr">
        <is>
          <t>柔性面层楼地面装饰</t>
        </is>
      </c>
      <c r="D76" s="106" t="n"/>
      <c r="E76" s="68" t="inlineStr">
        <is>
          <t>㎡</t>
        </is>
      </c>
      <c r="F76" s="107" t="n"/>
      <c r="G76" s="107" t="n"/>
      <c r="H76" s="107" t="n"/>
      <c r="I76" s="457" t="n"/>
      <c r="J76" s="452" t="inlineStr">
        <is>
          <t>单体建筑面积</t>
        </is>
      </c>
      <c r="K76" s="457" t="n"/>
      <c r="L76" s="48" t="inlineStr">
        <is>
          <t>柔性面层面积</t>
        </is>
      </c>
    </row>
    <row r="77" hidden="1" outlineLevel="1" ht="25" customFormat="1" customHeight="1" s="3">
      <c r="A77" s="93" t="n">
        <v>14.5</v>
      </c>
      <c r="B77" s="98" t="n"/>
      <c r="C77" s="105" t="inlineStr">
        <is>
          <t>油漆涂料面层楼地面装饰</t>
        </is>
      </c>
      <c r="D77" s="106" t="n"/>
      <c r="E77" s="68" t="inlineStr">
        <is>
          <t>㎡</t>
        </is>
      </c>
      <c r="F77" s="107" t="n"/>
      <c r="G77" s="107" t="n"/>
      <c r="H77" s="107" t="n"/>
      <c r="I77" s="457" t="n"/>
      <c r="J77" s="452" t="inlineStr">
        <is>
          <t>单体建筑面积</t>
        </is>
      </c>
      <c r="K77" s="457" t="n"/>
      <c r="L77" s="48" t="inlineStr">
        <is>
          <t>油漆涂料面层面积</t>
        </is>
      </c>
    </row>
    <row r="78" hidden="1" outlineLevel="1" ht="25" customFormat="1" customHeight="1" s="3">
      <c r="A78" s="93" t="n">
        <v>14.6</v>
      </c>
      <c r="B78" s="98" t="n"/>
      <c r="C78" s="105" t="inlineStr">
        <is>
          <t>其他面层楼地面装饰</t>
        </is>
      </c>
      <c r="D78" s="106" t="n"/>
      <c r="E78" s="68" t="inlineStr">
        <is>
          <t>㎡</t>
        </is>
      </c>
      <c r="F78" s="107" t="n"/>
      <c r="G78" s="107" t="n"/>
      <c r="H78" s="107" t="n"/>
      <c r="I78" s="457" t="n"/>
      <c r="J78" s="452" t="inlineStr">
        <is>
          <t>单体建筑面积</t>
        </is>
      </c>
      <c r="K78" s="457" t="n"/>
      <c r="L78" s="48" t="inlineStr">
        <is>
          <t>其他面层面积</t>
        </is>
      </c>
    </row>
    <row r="79" hidden="1" outlineLevel="1" ht="25" customFormat="1" customHeight="1" s="3">
      <c r="A79" s="93" t="n">
        <v>14.7</v>
      </c>
      <c r="B79" s="98" t="n"/>
      <c r="C79" s="102" t="inlineStr">
        <is>
          <t>装配式楼地面装饰</t>
        </is>
      </c>
      <c r="D79" s="103" t="n"/>
      <c r="E79" s="68" t="inlineStr">
        <is>
          <t>㎡</t>
        </is>
      </c>
      <c r="F79" s="104" t="n"/>
      <c r="G79" s="104" t="n"/>
      <c r="H79" s="104" t="n"/>
      <c r="I79" s="457" t="n"/>
      <c r="J79" s="452" t="inlineStr">
        <is>
          <t>单体建筑面积</t>
        </is>
      </c>
      <c r="K79" s="457" t="n"/>
      <c r="L79" s="48" t="inlineStr">
        <is>
          <t>装配式面积</t>
        </is>
      </c>
    </row>
    <row r="80" hidden="1" outlineLevel="1" ht="25" customFormat="1" customHeight="1" s="3">
      <c r="A80" s="93" t="n">
        <v>14.8</v>
      </c>
      <c r="B80" s="98" t="n"/>
      <c r="C80" s="102" t="inlineStr">
        <is>
          <t>楼梯、台阶及踏步装饰</t>
        </is>
      </c>
      <c r="D80" s="103" t="n"/>
      <c r="E80" s="68" t="inlineStr">
        <is>
          <t>㎡</t>
        </is>
      </c>
      <c r="F80" s="104" t="n"/>
      <c r="G80" s="104" t="n"/>
      <c r="H80" s="104" t="n"/>
      <c r="I80" s="457" t="n"/>
      <c r="J80" s="452" t="inlineStr">
        <is>
          <t>单体建筑面积</t>
        </is>
      </c>
      <c r="K80" s="457" t="n"/>
      <c r="L80" s="48" t="inlineStr">
        <is>
          <t>展开面积</t>
        </is>
      </c>
    </row>
    <row r="81" collapsed="1" ht="25" customFormat="1" customHeight="1" s="3">
      <c r="A81" s="88" t="n">
        <v>15</v>
      </c>
      <c r="B81" s="89" t="n"/>
      <c r="C81" s="56" t="inlineStr">
        <is>
          <t>内墙、柱面与隔断装饰工程</t>
        </is>
      </c>
      <c r="D81" s="56" t="n"/>
      <c r="E81" s="57" t="inlineStr">
        <is>
          <t>㎡</t>
        </is>
      </c>
      <c r="F81" s="58" t="n"/>
      <c r="G81" s="58" t="n"/>
      <c r="H81" s="58" t="n"/>
      <c r="I81" s="455" t="n"/>
      <c r="J81" s="456" t="inlineStr">
        <is>
          <t>单体建筑面积</t>
        </is>
      </c>
      <c r="K81" s="455" t="n"/>
      <c r="L81" s="61" t="inlineStr">
        <is>
          <t>墙柱面总面积</t>
        </is>
      </c>
    </row>
    <row r="82" hidden="1" outlineLevel="1" ht="25" customFormat="1" customHeight="1" s="3">
      <c r="A82" s="93" t="n">
        <v>15.1</v>
      </c>
      <c r="B82" s="98" t="n"/>
      <c r="C82" s="100" t="inlineStr">
        <is>
          <t>抹灰面内墙柱</t>
        </is>
      </c>
      <c r="D82" s="80" t="n"/>
      <c r="E82" s="68" t="inlineStr">
        <is>
          <t>㎡</t>
        </is>
      </c>
      <c r="F82" s="81" t="n"/>
      <c r="G82" s="81" t="n"/>
      <c r="H82" s="81" t="n"/>
      <c r="I82" s="457" t="n"/>
      <c r="J82" s="452" t="inlineStr">
        <is>
          <t>单体建筑面积</t>
        </is>
      </c>
      <c r="K82" s="457" t="n"/>
      <c r="L82" s="48" t="inlineStr">
        <is>
          <t>抹灰面墙柱面积</t>
        </is>
      </c>
    </row>
    <row r="83" hidden="1" outlineLevel="1" ht="25" customFormat="1" customHeight="1" s="3">
      <c r="A83" s="93" t="n">
        <v>15.2</v>
      </c>
      <c r="B83" s="98" t="n"/>
      <c r="C83" s="99" t="inlineStr">
        <is>
          <t>块料内墙柱装饰</t>
        </is>
      </c>
      <c r="D83" s="78" t="n"/>
      <c r="E83" s="68" t="inlineStr">
        <is>
          <t>㎡</t>
        </is>
      </c>
      <c r="F83" s="79" t="n"/>
      <c r="G83" s="79" t="n"/>
      <c r="H83" s="79" t="n"/>
      <c r="I83" s="457" t="n"/>
      <c r="J83" s="452" t="inlineStr">
        <is>
          <t>单体建筑面积</t>
        </is>
      </c>
      <c r="K83" s="457" t="n"/>
      <c r="L83" s="48" t="inlineStr">
        <is>
          <t>块料墙柱面积</t>
        </is>
      </c>
    </row>
    <row r="84" hidden="1" outlineLevel="1" ht="25" customFormat="1" customHeight="1" s="3">
      <c r="A84" s="93" t="n">
        <v>15.3</v>
      </c>
      <c r="B84" s="98" t="n"/>
      <c r="C84" s="99" t="inlineStr">
        <is>
          <t>饰面内墙柱面装饰</t>
        </is>
      </c>
      <c r="D84" s="78" t="n"/>
      <c r="E84" s="68" t="inlineStr">
        <is>
          <t>㎡</t>
        </is>
      </c>
      <c r="F84" s="79" t="n"/>
      <c r="G84" s="79" t="n"/>
      <c r="H84" s="79" t="n"/>
      <c r="I84" s="457" t="n"/>
      <c r="J84" s="452" t="inlineStr">
        <is>
          <t>单体建筑面积</t>
        </is>
      </c>
      <c r="K84" s="457" t="n"/>
      <c r="L84" s="48" t="inlineStr">
        <is>
          <t>饰面墙柱面积</t>
        </is>
      </c>
    </row>
    <row r="85" hidden="1" outlineLevel="1" ht="25" customFormat="1" customHeight="1" s="3">
      <c r="A85" s="93" t="n">
        <v>15.4</v>
      </c>
      <c r="B85" s="98" t="n"/>
      <c r="C85" s="99" t="inlineStr">
        <is>
          <t>涂料、裱糊内墙柱装饰</t>
        </is>
      </c>
      <c r="D85" s="78" t="n"/>
      <c r="E85" s="68" t="inlineStr">
        <is>
          <t>㎡</t>
        </is>
      </c>
      <c r="F85" s="79" t="n"/>
      <c r="G85" s="79" t="n"/>
      <c r="H85" s="79" t="n"/>
      <c r="I85" s="457" t="n"/>
      <c r="J85" s="452" t="inlineStr">
        <is>
          <t>单体建筑面积</t>
        </is>
      </c>
      <c r="K85" s="457" t="n"/>
      <c r="L85" s="48" t="inlineStr">
        <is>
          <t>涂料墙柱面积</t>
        </is>
      </c>
    </row>
    <row r="86" hidden="1" outlineLevel="1" ht="25" customFormat="1" customHeight="1" s="3">
      <c r="A86" s="93" t="n">
        <v>15.5</v>
      </c>
      <c r="B86" s="94" t="n"/>
      <c r="C86" s="101" t="inlineStr">
        <is>
          <t>隔断装饰</t>
        </is>
      </c>
      <c r="D86" s="80" t="n"/>
      <c r="E86" s="68" t="inlineStr">
        <is>
          <t>㎡</t>
        </is>
      </c>
      <c r="F86" s="81" t="n"/>
      <c r="G86" s="81" t="n"/>
      <c r="H86" s="81" t="n"/>
      <c r="I86" s="457" t="n"/>
      <c r="J86" s="452" t="inlineStr">
        <is>
          <t>单体建筑面积</t>
        </is>
      </c>
      <c r="K86" s="457" t="n"/>
      <c r="L86" s="48" t="inlineStr">
        <is>
          <t>隔断面积</t>
        </is>
      </c>
    </row>
    <row r="87" collapsed="1" ht="25" customFormat="1" customHeight="1" s="3">
      <c r="A87" s="88" t="n">
        <v>16</v>
      </c>
      <c r="B87" s="89" t="n"/>
      <c r="C87" s="56" t="inlineStr">
        <is>
          <t>天棚装饰工程</t>
        </is>
      </c>
      <c r="D87" s="56" t="n"/>
      <c r="E87" s="57" t="inlineStr">
        <is>
          <t>㎡</t>
        </is>
      </c>
      <c r="F87" s="58" t="n"/>
      <c r="G87" s="58" t="n"/>
      <c r="H87" s="58" t="n"/>
      <c r="I87" s="455" t="n"/>
      <c r="J87" s="456" t="inlineStr">
        <is>
          <t>单体建筑面积</t>
        </is>
      </c>
      <c r="K87" s="455" t="n"/>
      <c r="L87" s="61" t="inlineStr">
        <is>
          <t>天棚总面积</t>
        </is>
      </c>
    </row>
    <row r="88" hidden="1" outlineLevel="1" ht="25" customFormat="1" customHeight="1" s="3">
      <c r="A88" s="93" t="n">
        <v>16.1</v>
      </c>
      <c r="B88" s="94" t="n"/>
      <c r="C88" s="39" t="inlineStr">
        <is>
          <t>涂料、裱糊天棚</t>
        </is>
      </c>
      <c r="D88" s="39" t="n"/>
      <c r="E88" s="68" t="inlineStr">
        <is>
          <t>㎡</t>
        </is>
      </c>
      <c r="F88" s="41" t="n"/>
      <c r="G88" s="41" t="n"/>
      <c r="H88" s="41" t="n"/>
      <c r="I88" s="457" t="n"/>
      <c r="J88" s="452" t="inlineStr">
        <is>
          <t>单体建筑面积</t>
        </is>
      </c>
      <c r="K88" s="457" t="n"/>
      <c r="L88" s="48" t="inlineStr">
        <is>
          <t>涂料天棚面积</t>
        </is>
      </c>
    </row>
    <row r="89" hidden="1" outlineLevel="1" ht="25" customFormat="1" customHeight="1" s="3">
      <c r="A89" s="93" t="n">
        <v>16.2</v>
      </c>
      <c r="B89" s="94" t="n"/>
      <c r="C89" s="39" t="inlineStr">
        <is>
          <t>吊顶天棚</t>
        </is>
      </c>
      <c r="D89" s="39" t="n"/>
      <c r="E89" s="68" t="inlineStr">
        <is>
          <t>㎡</t>
        </is>
      </c>
      <c r="F89" s="41" t="n"/>
      <c r="G89" s="41" t="n"/>
      <c r="H89" s="41" t="n"/>
      <c r="I89" s="457" t="n"/>
      <c r="J89" s="452" t="inlineStr">
        <is>
          <t>单体建筑面积</t>
        </is>
      </c>
      <c r="K89" s="457" t="n"/>
      <c r="L89" s="48" t="inlineStr">
        <is>
          <t>吊顶天棚面积</t>
        </is>
      </c>
    </row>
    <row r="90" hidden="1" outlineLevel="1" ht="25" customFormat="1" customHeight="1" s="3">
      <c r="A90" s="93" t="n">
        <v>16.3</v>
      </c>
      <c r="B90" s="94" t="n"/>
      <c r="C90" s="39" t="inlineStr">
        <is>
          <t>装配式天棚</t>
        </is>
      </c>
      <c r="D90" s="39" t="n"/>
      <c r="E90" s="68" t="inlineStr">
        <is>
          <t>㎡</t>
        </is>
      </c>
      <c r="F90" s="41" t="n"/>
      <c r="G90" s="41" t="n"/>
      <c r="H90" s="41" t="n"/>
      <c r="I90" s="457" t="n"/>
      <c r="J90" s="452" t="inlineStr">
        <is>
          <t>单体建筑面积</t>
        </is>
      </c>
      <c r="K90" s="457" t="n"/>
      <c r="L90" s="48" t="inlineStr">
        <is>
          <t>装配式天棚面积</t>
        </is>
      </c>
    </row>
    <row r="91" hidden="1" outlineLevel="1" ht="25" customFormat="1" customHeight="1" s="3">
      <c r="A91" s="93" t="n">
        <v>16.4</v>
      </c>
      <c r="B91" s="94" t="n"/>
      <c r="C91" s="39" t="inlineStr">
        <is>
          <t>其他天棚</t>
        </is>
      </c>
      <c r="D91" s="39" t="n"/>
      <c r="E91" s="68" t="inlineStr">
        <is>
          <t>㎡</t>
        </is>
      </c>
      <c r="F91" s="41" t="n"/>
      <c r="G91" s="41" t="n"/>
      <c r="H91" s="41" t="n"/>
      <c r="I91" s="457" t="n"/>
      <c r="J91" s="452" t="inlineStr">
        <is>
          <t>单体建筑面积</t>
        </is>
      </c>
      <c r="K91" s="457" t="n"/>
      <c r="L91" s="108" t="inlineStr">
        <is>
          <t>其他天棚面积</t>
        </is>
      </c>
    </row>
    <row r="92" collapsed="1" ht="25" customFormat="1" customHeight="1" s="3">
      <c r="A92" s="88" t="n">
        <v>17</v>
      </c>
      <c r="B92" s="89" t="n"/>
      <c r="C92" s="56" t="inlineStr">
        <is>
          <t>其他装饰工程</t>
        </is>
      </c>
      <c r="D92" s="56" t="n"/>
      <c r="E92" s="57" t="inlineStr">
        <is>
          <t>项</t>
        </is>
      </c>
      <c r="F92" s="58" t="n"/>
      <c r="G92" s="58" t="n"/>
      <c r="H92" s="58" t="n"/>
      <c r="I92" s="455" t="n"/>
      <c r="J92" s="456" t="inlineStr">
        <is>
          <t>单体建筑面积</t>
        </is>
      </c>
      <c r="K92" s="455" t="n"/>
      <c r="L92" s="61" t="n"/>
    </row>
    <row r="93" hidden="1" outlineLevel="1" ht="25" customFormat="1" customHeight="1" s="3">
      <c r="A93" s="93" t="n">
        <v>17.1</v>
      </c>
      <c r="B93" s="94" t="n"/>
      <c r="C93" s="39" t="inlineStr">
        <is>
          <t>扶手、栏杆、栏板装饰</t>
        </is>
      </c>
      <c r="D93" s="39" t="n"/>
      <c r="E93" s="68" t="inlineStr">
        <is>
          <t>m</t>
        </is>
      </c>
      <c r="F93" s="41" t="n"/>
      <c r="G93" s="41" t="n"/>
      <c r="H93" s="41" t="n"/>
      <c r="I93" s="457" t="n"/>
      <c r="J93" s="452" t="inlineStr">
        <is>
          <t>单体建筑面积</t>
        </is>
      </c>
      <c r="K93" s="457" t="n"/>
      <c r="L93" s="48" t="inlineStr">
        <is>
          <t>扶手栏杆长度</t>
        </is>
      </c>
    </row>
    <row r="94" hidden="1" outlineLevel="1" ht="25" customFormat="1" customHeight="1" s="3">
      <c r="A94" s="93" t="n">
        <v>17.2</v>
      </c>
      <c r="B94" s="94" t="n"/>
      <c r="C94" s="39" t="inlineStr">
        <is>
          <t>柜类、货架及柜台</t>
        </is>
      </c>
      <c r="D94" s="39" t="n"/>
      <c r="E94" s="68" t="inlineStr">
        <is>
          <t>㎡</t>
        </is>
      </c>
      <c r="F94" s="41" t="n"/>
      <c r="G94" s="41" t="n"/>
      <c r="H94" s="41" t="n"/>
      <c r="I94" s="457" t="n"/>
      <c r="J94" s="452" t="inlineStr">
        <is>
          <t>单体建筑面积</t>
        </is>
      </c>
      <c r="K94" s="457" t="n"/>
      <c r="L94" s="48" t="inlineStr">
        <is>
          <t>柜类面积</t>
        </is>
      </c>
    </row>
    <row r="95" hidden="1" outlineLevel="1" ht="25" customFormat="1" customHeight="1" s="3">
      <c r="A95" s="93" t="n">
        <v>17.3</v>
      </c>
      <c r="B95" s="94" t="n"/>
      <c r="C95" s="39" t="inlineStr">
        <is>
          <t>装饰线条</t>
        </is>
      </c>
      <c r="D95" s="73" t="n"/>
      <c r="E95" s="68" t="inlineStr">
        <is>
          <t>m</t>
        </is>
      </c>
      <c r="F95" s="74" t="n"/>
      <c r="G95" s="74" t="n"/>
      <c r="H95" s="74" t="n"/>
      <c r="I95" s="457" t="n"/>
      <c r="J95" s="452" t="inlineStr">
        <is>
          <t>单体建筑面积</t>
        </is>
      </c>
      <c r="K95" s="457" t="n"/>
      <c r="L95" s="48" t="inlineStr">
        <is>
          <t>线条长度</t>
        </is>
      </c>
    </row>
    <row r="96" hidden="1" outlineLevel="1" ht="25" customFormat="1" customHeight="1" s="3">
      <c r="A96" s="93" t="n">
        <v>17.4</v>
      </c>
      <c r="B96" s="94" t="n"/>
      <c r="C96" s="39" t="inlineStr">
        <is>
          <t>浴厕集成</t>
        </is>
      </c>
      <c r="D96" s="39" t="n"/>
      <c r="E96" s="68" t="inlineStr">
        <is>
          <t>㎡</t>
        </is>
      </c>
      <c r="F96" s="41" t="n"/>
      <c r="G96" s="41" t="n"/>
      <c r="H96" s="41" t="n"/>
      <c r="I96" s="457" t="n"/>
      <c r="J96" s="452" t="inlineStr">
        <is>
          <t>单体建筑面积</t>
        </is>
      </c>
      <c r="K96" s="457" t="n"/>
      <c r="L96" s="48" t="inlineStr">
        <is>
          <t>浴厕集成面积</t>
        </is>
      </c>
    </row>
    <row r="97" hidden="1" outlineLevel="1" ht="25" customFormat="1" customHeight="1" s="3">
      <c r="A97" s="93" t="n">
        <v>17.5</v>
      </c>
      <c r="B97" s="94" t="n"/>
      <c r="C97" s="39" t="inlineStr">
        <is>
          <t>其他装饰</t>
        </is>
      </c>
      <c r="D97" s="39" t="n"/>
      <c r="E97" s="68" t="inlineStr">
        <is>
          <t>㎡</t>
        </is>
      </c>
      <c r="F97" s="41" t="n"/>
      <c r="G97" s="41" t="n"/>
      <c r="H97" s="41" t="n"/>
      <c r="I97" s="457" t="n"/>
      <c r="J97" s="452" t="inlineStr">
        <is>
          <t>单体建筑面积</t>
        </is>
      </c>
      <c r="K97" s="457" t="n"/>
      <c r="L97" s="48" t="inlineStr">
        <is>
          <t>其他装饰面积</t>
        </is>
      </c>
    </row>
    <row r="98" collapsed="1" ht="25" customFormat="1" customHeight="1" s="3">
      <c r="A98" s="88" t="n">
        <v>18</v>
      </c>
      <c r="B98" s="89" t="n"/>
      <c r="C98" s="56" t="inlineStr">
        <is>
          <t>构筑物工程</t>
        </is>
      </c>
      <c r="D98" s="56" t="n"/>
      <c r="E98" s="57" t="inlineStr">
        <is>
          <t>m³</t>
        </is>
      </c>
      <c r="F98" s="58" t="n"/>
      <c r="G98" s="58" t="n"/>
      <c r="H98" s="58" t="n"/>
      <c r="I98" s="455" t="n"/>
      <c r="J98" s="456" t="inlineStr">
        <is>
          <t>单体建筑面积</t>
        </is>
      </c>
      <c r="K98" s="455" t="n"/>
      <c r="L98" s="72" t="inlineStr">
        <is>
          <t>构筑物体积</t>
        </is>
      </c>
    </row>
    <row r="99" hidden="1" outlineLevel="1" ht="25" customFormat="1" customHeight="1" s="3">
      <c r="A99" s="109" t="n">
        <v>18.1</v>
      </c>
      <c r="B99" s="110" t="n"/>
      <c r="C99" s="39" t="inlineStr">
        <is>
          <t>烟囱</t>
        </is>
      </c>
      <c r="D99" s="39" t="n"/>
      <c r="E99" s="68" t="inlineStr">
        <is>
          <t>m³</t>
        </is>
      </c>
      <c r="F99" s="41" t="n"/>
      <c r="G99" s="41" t="n"/>
      <c r="H99" s="41" t="n"/>
      <c r="I99" s="457" t="n"/>
      <c r="J99" s="452" t="inlineStr">
        <is>
          <t>单体建筑面积</t>
        </is>
      </c>
      <c r="K99" s="457" t="n"/>
      <c r="L99" s="48" t="inlineStr">
        <is>
          <t>构筑物体积</t>
        </is>
      </c>
    </row>
    <row r="100" hidden="1" outlineLevel="1" ht="25" customFormat="1" customHeight="1" s="3">
      <c r="A100" s="109" t="n">
        <v>18.2</v>
      </c>
      <c r="B100" s="110" t="n"/>
      <c r="C100" s="39" t="inlineStr">
        <is>
          <t>水塔</t>
        </is>
      </c>
      <c r="D100" s="39" t="n"/>
      <c r="E100" s="68" t="inlineStr">
        <is>
          <t>m³</t>
        </is>
      </c>
      <c r="F100" s="41" t="n"/>
      <c r="G100" s="41" t="n"/>
      <c r="H100" s="41" t="n"/>
      <c r="I100" s="457" t="n"/>
      <c r="J100" s="452" t="inlineStr">
        <is>
          <t>单体建筑面积</t>
        </is>
      </c>
      <c r="K100" s="457" t="n"/>
      <c r="L100" s="48" t="inlineStr">
        <is>
          <t>构筑物体积</t>
        </is>
      </c>
    </row>
    <row r="101" hidden="1" outlineLevel="1" ht="25" customFormat="1" customHeight="1" s="3">
      <c r="A101" s="109" t="n">
        <v>18.3</v>
      </c>
      <c r="B101" s="110" t="n"/>
      <c r="C101" s="39" t="inlineStr">
        <is>
          <t>钢筋混凝土贮水(油)池</t>
        </is>
      </c>
      <c r="D101" s="39" t="n"/>
      <c r="E101" s="68" t="inlineStr">
        <is>
          <t>m³</t>
        </is>
      </c>
      <c r="F101" s="41" t="n"/>
      <c r="G101" s="41" t="n"/>
      <c r="H101" s="41" t="n"/>
      <c r="I101" s="457" t="n"/>
      <c r="J101" s="452" t="inlineStr">
        <is>
          <t>单体建筑面积</t>
        </is>
      </c>
      <c r="K101" s="457" t="n"/>
      <c r="L101" s="48" t="inlineStr">
        <is>
          <t>构筑物体积</t>
        </is>
      </c>
    </row>
    <row r="102" hidden="1" outlineLevel="1" collapsed="1" ht="25" customFormat="1" customHeight="1" s="3">
      <c r="A102" s="109" t="n">
        <v>18.4</v>
      </c>
      <c r="B102" s="110" t="n"/>
      <c r="C102" s="39" t="inlineStr">
        <is>
          <t>贮仓</t>
        </is>
      </c>
      <c r="D102" s="39" t="n"/>
      <c r="E102" s="68" t="inlineStr">
        <is>
          <t>m³</t>
        </is>
      </c>
      <c r="F102" s="41" t="n"/>
      <c r="G102" s="41" t="n"/>
      <c r="H102" s="41" t="n"/>
      <c r="I102" s="457" t="n"/>
      <c r="J102" s="452" t="inlineStr">
        <is>
          <t>单体建筑面积</t>
        </is>
      </c>
      <c r="K102" s="457" t="n"/>
      <c r="L102" s="48" t="inlineStr">
        <is>
          <t>构筑物体积</t>
        </is>
      </c>
    </row>
    <row r="103" collapsed="1" ht="25" customFormat="1" customHeight="1" s="3">
      <c r="A103" s="88" t="n">
        <v>19</v>
      </c>
      <c r="B103" s="89" t="n"/>
      <c r="C103" s="56" t="inlineStr">
        <is>
          <t>附属工程</t>
        </is>
      </c>
      <c r="D103" s="56" t="n"/>
      <c r="E103" s="57" t="inlineStr">
        <is>
          <t>项</t>
        </is>
      </c>
      <c r="F103" s="58" t="n"/>
      <c r="G103" s="58" t="n"/>
      <c r="H103" s="58" t="n"/>
      <c r="I103" s="455" t="n"/>
      <c r="J103" s="456" t="inlineStr">
        <is>
          <t>单体建筑面积</t>
        </is>
      </c>
      <c r="K103" s="455" t="n"/>
      <c r="L103" s="61" t="n"/>
    </row>
    <row r="104" hidden="1" outlineLevel="1" ht="25" customFormat="1" customHeight="1" s="3">
      <c r="A104" s="109" t="n">
        <v>19.1</v>
      </c>
      <c r="B104" s="110" t="n"/>
      <c r="C104" s="73" t="inlineStr">
        <is>
          <t>围墙</t>
        </is>
      </c>
      <c r="D104" s="73" t="n"/>
      <c r="E104" s="68" t="inlineStr">
        <is>
          <t>m</t>
        </is>
      </c>
      <c r="F104" s="74" t="n"/>
      <c r="G104" s="74" t="n"/>
      <c r="H104" s="74" t="n"/>
      <c r="I104" s="457" t="n"/>
      <c r="J104" s="452" t="inlineStr">
        <is>
          <t>单体建筑面积</t>
        </is>
      </c>
      <c r="K104" s="457" t="n"/>
      <c r="L104" s="48" t="inlineStr">
        <is>
          <t>围墙长度</t>
        </is>
      </c>
    </row>
    <row r="105" hidden="1" outlineLevel="1" ht="25" customFormat="1" customHeight="1" s="3">
      <c r="A105" s="109" t="n">
        <v>19.2</v>
      </c>
      <c r="B105" s="110" t="n"/>
      <c r="C105" s="39" t="inlineStr">
        <is>
          <t>操场、球场</t>
        </is>
      </c>
      <c r="D105" s="73" t="n"/>
      <c r="E105" s="68" t="n"/>
      <c r="F105" s="74" t="n"/>
      <c r="G105" s="74" t="n"/>
      <c r="H105" s="74" t="n"/>
      <c r="I105" s="457" t="n"/>
      <c r="J105" s="452" t="n"/>
      <c r="K105" s="457" t="n"/>
      <c r="L105" s="48" t="n"/>
    </row>
    <row r="106" hidden="1" outlineLevel="1" ht="25" customFormat="1" customHeight="1" s="3">
      <c r="A106" s="109" t="n">
        <v>19.3</v>
      </c>
      <c r="B106" s="110" t="n"/>
      <c r="C106" s="39" t="inlineStr">
        <is>
          <t>挡土墙</t>
        </is>
      </c>
      <c r="D106" s="39" t="n"/>
      <c r="E106" s="68" t="inlineStr">
        <is>
          <t>m</t>
        </is>
      </c>
      <c r="F106" s="41" t="n"/>
      <c r="G106" s="41" t="n"/>
      <c r="H106" s="41" t="n"/>
      <c r="I106" s="457" t="n"/>
      <c r="J106" s="452" t="inlineStr">
        <is>
          <t>单体建筑面积</t>
        </is>
      </c>
      <c r="K106" s="457" t="n"/>
      <c r="L106" s="48" t="inlineStr">
        <is>
          <t>挡土墙长度</t>
        </is>
      </c>
    </row>
    <row r="107" hidden="1" outlineLevel="1" ht="25" customFormat="1" customHeight="1" s="3">
      <c r="A107" s="109" t="n">
        <v>19.4</v>
      </c>
      <c r="B107" s="110" t="n"/>
      <c r="C107" s="111" t="inlineStr">
        <is>
          <t>墙脚护坡、明沟、坡道、台阶</t>
        </is>
      </c>
      <c r="D107" s="39" t="n"/>
      <c r="E107" s="68" t="inlineStr">
        <is>
          <t>㎡</t>
        </is>
      </c>
      <c r="F107" s="41" t="n"/>
      <c r="G107" s="41" t="n"/>
      <c r="H107" s="41" t="n"/>
      <c r="I107" s="457" t="n"/>
      <c r="J107" s="452" t="inlineStr">
        <is>
          <t>单体建筑面积</t>
        </is>
      </c>
      <c r="K107" s="457" t="n"/>
      <c r="L107" s="48" t="inlineStr">
        <is>
          <t>护坡台阶面积</t>
        </is>
      </c>
    </row>
    <row r="108" hidden="1" outlineLevel="1" ht="25" customFormat="1" customHeight="1" s="3">
      <c r="A108" s="109" t="n">
        <v>19.5</v>
      </c>
      <c r="B108" s="110" t="n"/>
      <c r="C108" s="39" t="inlineStr">
        <is>
          <t>排水管道铺设</t>
        </is>
      </c>
      <c r="D108" s="39" t="n"/>
      <c r="E108" s="68" t="inlineStr">
        <is>
          <t>m</t>
        </is>
      </c>
      <c r="F108" s="41" t="n"/>
      <c r="G108" s="41" t="n"/>
      <c r="H108" s="41" t="n"/>
      <c r="I108" s="457" t="n"/>
      <c r="J108" s="452" t="inlineStr">
        <is>
          <t>单体建筑面积</t>
        </is>
      </c>
      <c r="K108" s="457" t="n"/>
      <c r="L108" s="48" t="inlineStr">
        <is>
          <t>管道长度</t>
        </is>
      </c>
    </row>
    <row r="109" hidden="1" outlineLevel="1" ht="25" customFormat="1" customHeight="1" s="3">
      <c r="A109" s="109" t="n">
        <v>19.6</v>
      </c>
      <c r="B109" s="110" t="n"/>
      <c r="C109" s="39" t="inlineStr">
        <is>
          <t>窨井、检查井</t>
        </is>
      </c>
      <c r="D109" s="39" t="n"/>
      <c r="E109" s="68" t="inlineStr">
        <is>
          <t>套</t>
        </is>
      </c>
      <c r="F109" s="41" t="n"/>
      <c r="G109" s="41" t="n"/>
      <c r="H109" s="41" t="n"/>
      <c r="I109" s="457" t="n"/>
      <c r="J109" s="452" t="inlineStr">
        <is>
          <t>单体建筑面积</t>
        </is>
      </c>
      <c r="K109" s="457" t="n"/>
      <c r="L109" s="48" t="inlineStr">
        <is>
          <t>井数量</t>
        </is>
      </c>
    </row>
    <row r="110" hidden="1" outlineLevel="1" ht="25" customFormat="1" customHeight="1" s="3">
      <c r="A110" s="109" t="n">
        <v>19.7</v>
      </c>
      <c r="B110" s="110" t="n"/>
      <c r="C110" s="39" t="inlineStr">
        <is>
          <t>化粪池</t>
        </is>
      </c>
      <c r="D110" s="39" t="n"/>
      <c r="E110" s="68" t="inlineStr">
        <is>
          <t>m³</t>
        </is>
      </c>
      <c r="F110" s="41" t="n"/>
      <c r="G110" s="41" t="n"/>
      <c r="H110" s="41" t="n"/>
      <c r="I110" s="457" t="n"/>
      <c r="J110" s="452" t="inlineStr">
        <is>
          <t>单体建筑面积</t>
        </is>
      </c>
      <c r="K110" s="457" t="n"/>
      <c r="L110" s="48" t="inlineStr">
        <is>
          <t>化粪池方量</t>
        </is>
      </c>
    </row>
    <row r="111" hidden="1" outlineLevel="1" ht="25" customFormat="1" customHeight="1" s="3">
      <c r="A111" s="109" t="n">
        <v>19.8</v>
      </c>
      <c r="B111" s="110" t="n"/>
      <c r="C111" s="39" t="inlineStr">
        <is>
          <t>其他附属</t>
        </is>
      </c>
      <c r="D111" s="39" t="n"/>
      <c r="E111" s="68" t="inlineStr">
        <is>
          <t>项</t>
        </is>
      </c>
      <c r="F111" s="41" t="n"/>
      <c r="G111" s="41" t="n"/>
      <c r="H111" s="41" t="n"/>
      <c r="I111" s="457" t="n"/>
      <c r="J111" s="452" t="inlineStr">
        <is>
          <t>单体建筑面积</t>
        </is>
      </c>
      <c r="K111" s="457" t="n"/>
      <c r="L111" s="48" t="n"/>
    </row>
    <row r="112" collapsed="1" ht="25" customFormat="1" customHeight="1" s="3">
      <c r="A112" s="88" t="n">
        <v>20</v>
      </c>
      <c r="B112" s="89" t="n"/>
      <c r="C112" s="56" t="inlineStr">
        <is>
          <t>拆除工程</t>
        </is>
      </c>
      <c r="D112" s="56" t="n"/>
      <c r="E112" s="57" t="inlineStr">
        <is>
          <t>㎡</t>
        </is>
      </c>
      <c r="F112" s="58" t="n"/>
      <c r="G112" s="58" t="n"/>
      <c r="H112" s="58" t="n"/>
      <c r="I112" s="455" t="n"/>
      <c r="J112" s="456" t="inlineStr">
        <is>
          <t>单体建筑面积</t>
        </is>
      </c>
      <c r="K112" s="455" t="n"/>
      <c r="L112" s="61" t="inlineStr">
        <is>
          <t>拆除总面积</t>
        </is>
      </c>
    </row>
    <row r="113" hidden="1" outlineLevel="1" ht="25" customFormat="1" customHeight="1" s="3">
      <c r="A113" s="109" t="n">
        <v>20.1</v>
      </c>
      <c r="B113" s="110" t="n"/>
      <c r="C113" s="39" t="inlineStr">
        <is>
          <t>结构拆除</t>
        </is>
      </c>
      <c r="D113" s="39" t="n"/>
      <c r="E113" s="68" t="inlineStr">
        <is>
          <t>m³</t>
        </is>
      </c>
      <c r="F113" s="41" t="n"/>
      <c r="G113" s="41" t="n"/>
      <c r="H113" s="41" t="n"/>
      <c r="I113" s="457" t="n"/>
      <c r="J113" s="452" t="inlineStr">
        <is>
          <t>单体建筑面积</t>
        </is>
      </c>
      <c r="K113" s="457" t="n"/>
      <c r="L113" s="48" t="inlineStr">
        <is>
          <t>结构拆除体积</t>
        </is>
      </c>
    </row>
    <row r="114" hidden="1" outlineLevel="1" ht="25" customFormat="1" customHeight="1" s="3">
      <c r="A114" s="109" t="n">
        <v>20.2</v>
      </c>
      <c r="B114" s="110" t="n"/>
      <c r="C114" s="39" t="inlineStr">
        <is>
          <t>饰面拆除</t>
        </is>
      </c>
      <c r="D114" s="39" t="n"/>
      <c r="E114" s="68" t="inlineStr">
        <is>
          <t>㎡</t>
        </is>
      </c>
      <c r="F114" s="41" t="n"/>
      <c r="G114" s="41" t="n"/>
      <c r="H114" s="41" t="n"/>
      <c r="I114" s="457" t="n"/>
      <c r="J114" s="452" t="inlineStr">
        <is>
          <t>单体建筑面积</t>
        </is>
      </c>
      <c r="K114" s="457" t="n"/>
      <c r="L114" s="48" t="inlineStr">
        <is>
          <t>饰面拆除面积</t>
        </is>
      </c>
    </row>
    <row r="115" hidden="1" outlineLevel="1" ht="25" customFormat="1" customHeight="1" s="3">
      <c r="A115" s="109" t="n">
        <v>20.3</v>
      </c>
      <c r="B115" s="110" t="n"/>
      <c r="C115" s="73" t="inlineStr">
        <is>
          <t>安装拆除</t>
        </is>
      </c>
      <c r="D115" s="73" t="n"/>
      <c r="E115" s="68" t="inlineStr">
        <is>
          <t>㎡</t>
        </is>
      </c>
      <c r="F115" s="74" t="n"/>
      <c r="G115" s="74" t="n"/>
      <c r="H115" s="74" t="n"/>
      <c r="I115" s="457" t="n"/>
      <c r="J115" s="452" t="inlineStr">
        <is>
          <t>单体建筑面积</t>
        </is>
      </c>
      <c r="K115" s="457" t="n"/>
      <c r="L115" s="48" t="inlineStr">
        <is>
          <t>安装拆除面积</t>
        </is>
      </c>
    </row>
    <row r="116" collapsed="1" ht="25" customFormat="1" customHeight="1" s="3">
      <c r="A116" s="88" t="n">
        <v>21</v>
      </c>
      <c r="B116" s="89" t="n"/>
      <c r="C116" s="56" t="inlineStr">
        <is>
          <t>技术措施项目</t>
        </is>
      </c>
      <c r="D116" s="56" t="n"/>
      <c r="E116" s="57" t="inlineStr">
        <is>
          <t>项</t>
        </is>
      </c>
      <c r="F116" s="58" t="n"/>
      <c r="G116" s="58" t="n"/>
      <c r="H116" s="58" t="n"/>
      <c r="I116" s="455" t="n"/>
      <c r="J116" s="456" t="inlineStr">
        <is>
          <t>单体建筑面积</t>
        </is>
      </c>
      <c r="K116" s="455" t="n"/>
      <c r="L116" s="61" t="n"/>
    </row>
    <row r="117" hidden="1" outlineLevel="1" ht="25" customFormat="1" customHeight="1" s="3">
      <c r="A117" s="93" t="n">
        <v>21.1</v>
      </c>
      <c r="B117" s="98" t="n"/>
      <c r="C117" s="99" t="inlineStr">
        <is>
          <t>脚手架</t>
        </is>
      </c>
      <c r="D117" s="78" t="n"/>
      <c r="E117" s="68" t="inlineStr">
        <is>
          <t>㎡</t>
        </is>
      </c>
      <c r="F117" s="79" t="n"/>
      <c r="G117" s="79" t="n"/>
      <c r="H117" s="79" t="n"/>
      <c r="I117" s="457" t="n"/>
      <c r="J117" s="459" t="inlineStr">
        <is>
          <t>单体建筑面积</t>
        </is>
      </c>
      <c r="K117" s="457" t="n"/>
      <c r="L117" s="460" t="inlineStr">
        <is>
          <t>单体建筑面积</t>
        </is>
      </c>
    </row>
    <row r="118" hidden="1" outlineLevel="1" ht="25" customFormat="1" customHeight="1" s="3">
      <c r="A118" s="93" t="n">
        <v>21.2</v>
      </c>
      <c r="B118" s="98" t="n"/>
      <c r="C118" s="99" t="inlineStr">
        <is>
          <t>垂直运输</t>
        </is>
      </c>
      <c r="D118" s="78" t="n"/>
      <c r="E118" s="68" t="inlineStr">
        <is>
          <t>㎡</t>
        </is>
      </c>
      <c r="F118" s="79" t="n"/>
      <c r="G118" s="79" t="n"/>
      <c r="H118" s="79" t="n"/>
      <c r="I118" s="457" t="n"/>
      <c r="J118" s="459" t="inlineStr">
        <is>
          <t>单体建筑面积</t>
        </is>
      </c>
      <c r="K118" s="457" t="n"/>
      <c r="L118" s="460" t="inlineStr">
        <is>
          <t>单体建筑面积</t>
        </is>
      </c>
    </row>
    <row r="119" hidden="1" outlineLevel="1" ht="25" customFormat="1" customHeight="1" s="3">
      <c r="A119" s="93" t="n">
        <v>21.3</v>
      </c>
      <c r="B119" s="98" t="n"/>
      <c r="C119" s="99" t="inlineStr">
        <is>
          <t>超高施工增加</t>
        </is>
      </c>
      <c r="D119" s="78" t="n"/>
      <c r="E119" s="68" t="inlineStr">
        <is>
          <t>㎡</t>
        </is>
      </c>
      <c r="F119" s="79" t="n"/>
      <c r="G119" s="79" t="n"/>
      <c r="H119" s="79" t="n"/>
      <c r="I119" s="457" t="n"/>
      <c r="J119" s="459" t="inlineStr">
        <is>
          <t>单体建筑面积</t>
        </is>
      </c>
      <c r="K119" s="457" t="n"/>
      <c r="L119" s="460" t="inlineStr">
        <is>
          <t>单体建筑面积</t>
        </is>
      </c>
    </row>
    <row r="120" hidden="1" outlineLevel="1" ht="25" customFormat="1" customHeight="1" s="3">
      <c r="A120" s="93" t="n">
        <v>21.4</v>
      </c>
      <c r="B120" s="114" t="n"/>
      <c r="C120" s="115" t="inlineStr">
        <is>
          <t>大型机械进出场及安拆</t>
        </is>
      </c>
      <c r="D120" s="116" t="n"/>
      <c r="E120" s="68" t="inlineStr">
        <is>
          <t>项</t>
        </is>
      </c>
      <c r="F120" s="79" t="n"/>
      <c r="G120" s="79" t="n"/>
      <c r="H120" s="79" t="n"/>
      <c r="I120" s="457" t="n"/>
      <c r="J120" s="459" t="inlineStr">
        <is>
          <t>单体建筑面积</t>
        </is>
      </c>
      <c r="K120" s="457" t="n"/>
      <c r="L120" s="461" t="n"/>
    </row>
    <row r="121" hidden="1" outlineLevel="1" ht="25" customFormat="1" customHeight="1" s="3">
      <c r="A121" s="93" t="n">
        <v>21.5</v>
      </c>
      <c r="B121" s="114" t="n"/>
      <c r="C121" s="115" t="inlineStr">
        <is>
          <t>施工排水、降水</t>
        </is>
      </c>
      <c r="D121" s="116" t="n"/>
      <c r="E121" s="68" t="inlineStr">
        <is>
          <t>项</t>
        </is>
      </c>
      <c r="F121" s="79" t="n"/>
      <c r="G121" s="79" t="n"/>
      <c r="H121" s="79" t="n"/>
      <c r="I121" s="457" t="n"/>
      <c r="J121" s="459" t="inlineStr">
        <is>
          <t>单体建筑面积</t>
        </is>
      </c>
      <c r="K121" s="457" t="n"/>
      <c r="L121" s="461" t="n"/>
    </row>
    <row r="122" hidden="1" outlineLevel="1" ht="25" customFormat="1" customHeight="1" s="3">
      <c r="A122" s="93" t="n">
        <v>21.6</v>
      </c>
      <c r="B122" s="94" t="n"/>
      <c r="C122" s="80" t="inlineStr">
        <is>
          <t>非夜间照明费</t>
        </is>
      </c>
      <c r="D122" s="80" t="n"/>
      <c r="E122" s="68" t="inlineStr">
        <is>
          <t>㎡</t>
        </is>
      </c>
      <c r="F122" s="81" t="n"/>
      <c r="G122" s="81" t="n"/>
      <c r="H122" s="81" t="n"/>
      <c r="I122" s="457" t="n"/>
      <c r="J122" s="459" t="inlineStr">
        <is>
          <t>单体建筑面积</t>
        </is>
      </c>
      <c r="K122" s="457" t="n"/>
      <c r="L122" s="460" t="inlineStr">
        <is>
          <t>单体建筑面积</t>
        </is>
      </c>
    </row>
    <row r="123" hidden="1" outlineLevel="1" ht="25" customFormat="1" customHeight="1" s="3">
      <c r="A123" s="93" t="n">
        <v>21.7</v>
      </c>
      <c r="B123" s="94" t="n"/>
      <c r="C123" s="78" t="inlineStr">
        <is>
          <t>其他技术措施</t>
        </is>
      </c>
      <c r="D123" s="78" t="n"/>
      <c r="E123" s="68" t="inlineStr">
        <is>
          <t>项</t>
        </is>
      </c>
      <c r="F123" s="79" t="n"/>
      <c r="G123" s="79" t="n"/>
      <c r="H123" s="79" t="n"/>
      <c r="I123" s="457" t="n"/>
      <c r="J123" s="459" t="inlineStr">
        <is>
          <t>单体建筑面积</t>
        </is>
      </c>
      <c r="K123" s="457" t="n"/>
      <c r="L123" s="461" t="n"/>
    </row>
    <row r="124" ht="25" customHeight="1" s="388"/>
    <row r="125" ht="25" customHeight="1" s="388"/>
    <row r="126" ht="25" customHeight="1" s="388"/>
    <row r="127" ht="25" customHeight="1" s="388"/>
    <row r="128" ht="25" customHeight="1" s="388"/>
  </sheetData>
  <mergeCells count="12">
    <mergeCell ref="C3:C4"/>
    <mergeCell ref="A2:H2"/>
    <mergeCell ref="B3:B4"/>
    <mergeCell ref="A3:A4"/>
    <mergeCell ref="A1:L1"/>
    <mergeCell ref="E3:E4"/>
    <mergeCell ref="F3:F4"/>
    <mergeCell ref="D3:D4"/>
    <mergeCell ref="G3:G4"/>
    <mergeCell ref="H3:H4"/>
    <mergeCell ref="K3:L3"/>
    <mergeCell ref="I3:J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8"/>
  <sheetViews>
    <sheetView workbookViewId="0">
      <pane ySplit="4" topLeftCell="A5" activePane="bottomLeft" state="frozen"/>
      <selection activeCell="A1" sqref="A1"/>
      <selection pane="bottomLeft" activeCell="D13" sqref="D13"/>
    </sheetView>
  </sheetViews>
  <sheetFormatPr baseColWidth="8" defaultColWidth="9" defaultRowHeight="13.5" customHeight="1"/>
  <cols>
    <col width="5.86666666666667" customWidth="1" style="5" min="1" max="1"/>
    <col width="6.73333333333333" customWidth="1" style="5" min="2" max="2"/>
    <col width="19.025" customWidth="1" style="6" min="3" max="3"/>
    <col width="26.0833333333333" customWidth="1" style="7" min="4" max="4"/>
    <col width="5.65" customWidth="1" style="8" min="5" max="5"/>
    <col width="8.800000000000001" customWidth="1" style="7" min="6" max="6"/>
    <col width="9.016666666666669" customWidth="1" style="7" min="7" max="7"/>
    <col width="9.66666666666667" customWidth="1" style="7" min="8" max="8"/>
    <col outlineLevel="1" width="10.325" customWidth="1" style="441" min="9" max="9"/>
    <col outlineLevel="1" width="11.7416666666667" customWidth="1" style="442" min="10" max="10"/>
    <col outlineLevel="1" width="9.449999999999999" customWidth="1" style="441" min="11" max="11"/>
    <col outlineLevel="1" width="13.15" customWidth="1" style="443" min="12" max="12"/>
    <col width="9" customWidth="1" style="3" min="13" max="16384"/>
  </cols>
  <sheetData>
    <row r="1" ht="49.65" customFormat="1" customHeight="1" s="3">
      <c r="A1" s="13" t="inlineStr">
        <is>
          <t>安装工程概算项目清单</t>
        </is>
      </c>
    </row>
    <row r="2" ht="13" customFormat="1" customHeight="1" s="3">
      <c r="A2" s="17" t="inlineStr">
        <is>
          <t>单位工程及专业工程名称：</t>
        </is>
      </c>
      <c r="I2" s="444" t="n"/>
      <c r="J2" s="445" t="inlineStr">
        <is>
          <t>建筑面积：</t>
        </is>
      </c>
      <c r="K2" s="444" t="n"/>
      <c r="L2" s="445" t="inlineStr">
        <is>
          <t>第  页共  页</t>
        </is>
      </c>
    </row>
    <row r="3" ht="20" customFormat="1" customHeight="1" s="3">
      <c r="A3" s="19" t="inlineStr">
        <is>
          <t>序号</t>
        </is>
      </c>
      <c r="B3" s="19" t="inlineStr">
        <is>
          <t>项目
编码</t>
        </is>
      </c>
      <c r="C3" s="19" t="inlineStr">
        <is>
          <t>项目名称</t>
        </is>
      </c>
      <c r="D3" s="19" t="inlineStr">
        <is>
          <t>工作内容</t>
        </is>
      </c>
      <c r="E3" s="21" t="inlineStr">
        <is>
          <t>计量
单位
（x）</t>
        </is>
      </c>
      <c r="F3" s="19" t="inlineStr">
        <is>
          <t>工程量</t>
        </is>
      </c>
      <c r="G3" s="19" t="inlineStr">
        <is>
          <t>单价
（元）</t>
        </is>
      </c>
      <c r="H3" s="19" t="inlineStr">
        <is>
          <t>合价
（元）</t>
        </is>
      </c>
      <c r="I3" s="446" t="inlineStr">
        <is>
          <t>经济指标</t>
        </is>
      </c>
      <c r="J3" s="371" t="n"/>
      <c r="K3" s="446" t="inlineStr">
        <is>
          <t>工程量指标</t>
        </is>
      </c>
      <c r="L3" s="371" t="n"/>
    </row>
    <row r="4" ht="30" customFormat="1" customHeight="1" s="3">
      <c r="A4" s="372" t="n"/>
      <c r="B4" s="372" t="n"/>
      <c r="C4" s="372" t="n"/>
      <c r="D4" s="372" t="n"/>
      <c r="E4" s="372" t="n"/>
      <c r="F4" s="372" t="n"/>
      <c r="G4" s="372" t="n"/>
      <c r="H4" s="372" t="n"/>
      <c r="I4" s="447" t="inlineStr">
        <is>
          <t xml:space="preserve">单方指标
（元/㎡）           </t>
        </is>
      </c>
      <c r="J4" s="448" t="inlineStr">
        <is>
          <t>指标说明</t>
        </is>
      </c>
      <c r="K4" s="447" t="inlineStr">
        <is>
          <t xml:space="preserve">单方指标
（x/㎡）           </t>
        </is>
      </c>
      <c r="L4" s="448" t="inlineStr">
        <is>
          <t>计算基数</t>
        </is>
      </c>
    </row>
    <row r="5" ht="25" customFormat="1" customHeight="1" s="3">
      <c r="A5" s="27" t="n">
        <v>1</v>
      </c>
      <c r="B5" s="28" t="n"/>
      <c r="C5" s="29" t="inlineStr">
        <is>
          <t>电气工程</t>
        </is>
      </c>
      <c r="D5" s="30" t="n"/>
      <c r="E5" s="31" t="inlineStr">
        <is>
          <t>㎡</t>
        </is>
      </c>
      <c r="F5" s="32" t="n"/>
      <c r="G5" s="32" t="n"/>
      <c r="H5" s="32" t="n"/>
      <c r="I5" s="449" t="n"/>
      <c r="J5" s="450" t="inlineStr">
        <is>
          <t>单体建筑面积</t>
        </is>
      </c>
      <c r="K5" s="449" t="n"/>
      <c r="L5" s="35" t="n"/>
    </row>
    <row r="6" outlineLevel="1" ht="29" customFormat="1" customHeight="1" s="3">
      <c r="A6" s="36" t="n">
        <v>1.1</v>
      </c>
      <c r="B6" s="37" t="n"/>
      <c r="C6" s="38" t="inlineStr">
        <is>
          <t>配电箱（含充电桩）</t>
        </is>
      </c>
      <c r="D6" s="39" t="n"/>
      <c r="E6" s="40" t="inlineStr">
        <is>
          <t>套</t>
        </is>
      </c>
      <c r="F6" s="41" t="n"/>
      <c r="G6" s="41" t="n"/>
      <c r="H6" s="41" t="n"/>
      <c r="I6" s="451" t="n"/>
      <c r="J6" s="452" t="inlineStr">
        <is>
          <t>单体建筑面积</t>
        </is>
      </c>
      <c r="K6" s="451" t="n"/>
      <c r="L6" s="452" t="inlineStr">
        <is>
          <t>配电箱套数</t>
        </is>
      </c>
    </row>
    <row r="7" outlineLevel="1" ht="25" customFormat="1" customHeight="1" s="3">
      <c r="A7" s="36" t="n">
        <v>1.2</v>
      </c>
      <c r="B7" s="37" t="n"/>
      <c r="C7" s="38" t="inlineStr">
        <is>
          <t>桥架敷设（含支架）</t>
        </is>
      </c>
      <c r="D7" s="44" t="n"/>
      <c r="E7" s="45" t="inlineStr">
        <is>
          <t>m</t>
        </is>
      </c>
      <c r="F7" s="46" t="n"/>
      <c r="G7" s="46" t="n"/>
      <c r="H7" s="46" t="n"/>
      <c r="I7" s="453" t="n"/>
      <c r="J7" s="452" t="inlineStr">
        <is>
          <t>单体建筑面积</t>
        </is>
      </c>
      <c r="K7" s="453" t="n"/>
      <c r="L7" s="48" t="inlineStr">
        <is>
          <t>桥架长度</t>
        </is>
      </c>
    </row>
    <row r="8" outlineLevel="1" ht="25" customFormat="1" customHeight="1" s="3">
      <c r="A8" s="36" t="n">
        <v>1.3</v>
      </c>
      <c r="B8" s="37" t="n"/>
      <c r="C8" s="38" t="inlineStr">
        <is>
          <t>配管工程（含接线盒）</t>
        </is>
      </c>
      <c r="D8" s="49" t="n"/>
      <c r="E8" s="45" t="inlineStr">
        <is>
          <t>m</t>
        </is>
      </c>
      <c r="F8" s="50" t="n"/>
      <c r="G8" s="50" t="n"/>
      <c r="H8" s="50" t="n"/>
      <c r="I8" s="454" t="n"/>
      <c r="J8" s="452" t="inlineStr">
        <is>
          <t>单体建筑面积</t>
        </is>
      </c>
      <c r="K8" s="454" t="n"/>
      <c r="L8" s="452" t="inlineStr">
        <is>
          <t>配管长度</t>
        </is>
      </c>
    </row>
    <row r="9" outlineLevel="1" ht="25" customFormat="1" customHeight="1" s="3">
      <c r="A9" s="36" t="n">
        <v>1.4</v>
      </c>
      <c r="B9" s="37" t="n"/>
      <c r="C9" s="38" t="inlineStr">
        <is>
          <t>配线工程</t>
        </is>
      </c>
      <c r="D9" s="49" t="n"/>
      <c r="E9" s="45" t="inlineStr">
        <is>
          <t>m</t>
        </is>
      </c>
      <c r="F9" s="50" t="n"/>
      <c r="G9" s="50" t="n"/>
      <c r="H9" s="50" t="n"/>
      <c r="I9" s="454" t="n"/>
      <c r="J9" s="452" t="inlineStr">
        <is>
          <t>单体建筑面积</t>
        </is>
      </c>
      <c r="K9" s="454" t="n"/>
      <c r="L9" s="452" t="inlineStr">
        <is>
          <t>配线长度</t>
        </is>
      </c>
    </row>
    <row r="10" outlineLevel="1" ht="25" customFormat="1" customHeight="1" s="3">
      <c r="A10" s="36" t="n">
        <v>1.5</v>
      </c>
      <c r="B10" s="37" t="n"/>
      <c r="C10" s="38" t="inlineStr">
        <is>
          <t>电缆敷设</t>
        </is>
      </c>
      <c r="D10" s="52" t="n"/>
      <c r="E10" s="45" t="inlineStr">
        <is>
          <t>m</t>
        </is>
      </c>
      <c r="F10" s="53" t="n"/>
      <c r="G10" s="53" t="n"/>
      <c r="H10" s="53" t="n"/>
      <c r="I10" s="454" t="n"/>
      <c r="J10" s="452" t="inlineStr">
        <is>
          <t>单体建筑面积</t>
        </is>
      </c>
      <c r="K10" s="454" t="n"/>
      <c r="L10" s="48" t="inlineStr">
        <is>
          <t>电缆长度</t>
        </is>
      </c>
    </row>
    <row r="11" outlineLevel="1" ht="25" customFormat="1" customHeight="1" s="3">
      <c r="A11" s="36" t="n">
        <v>1.6</v>
      </c>
      <c r="B11" s="37" t="n"/>
      <c r="C11" s="38" t="inlineStr">
        <is>
          <t>母线安装（含插接箱、始端箱）</t>
        </is>
      </c>
      <c r="D11" s="39" t="n"/>
      <c r="E11" s="45" t="inlineStr">
        <is>
          <t>m</t>
        </is>
      </c>
      <c r="F11" s="41" t="n"/>
      <c r="G11" s="41" t="n"/>
      <c r="H11" s="41" t="n"/>
      <c r="I11" s="454" t="n"/>
      <c r="J11" s="452" t="inlineStr">
        <is>
          <t>单体建筑面积</t>
        </is>
      </c>
      <c r="K11" s="454" t="n"/>
      <c r="L11" s="452" t="inlineStr">
        <is>
          <t>母线长度</t>
        </is>
      </c>
    </row>
    <row r="12" outlineLevel="1" ht="25" customFormat="1" customHeight="1" s="3">
      <c r="A12" s="36" t="n">
        <v>1.7</v>
      </c>
      <c r="B12" s="37" t="n"/>
      <c r="C12" s="38" t="inlineStr">
        <is>
          <t>照明灯具、开关插座</t>
        </is>
      </c>
      <c r="D12" s="39" t="n"/>
      <c r="E12" s="40" t="inlineStr">
        <is>
          <t>套</t>
        </is>
      </c>
      <c r="F12" s="41" t="n"/>
      <c r="G12" s="41" t="n"/>
      <c r="H12" s="41" t="n"/>
      <c r="I12" s="454" t="n"/>
      <c r="J12" s="452" t="inlineStr">
        <is>
          <t>单体建筑面积</t>
        </is>
      </c>
      <c r="K12" s="454" t="n"/>
      <c r="L12" s="54" t="inlineStr">
        <is>
          <t>灯具套数</t>
        </is>
      </c>
    </row>
    <row r="13" outlineLevel="1" ht="25" customFormat="1" customHeight="1" s="3">
      <c r="A13" s="36" t="n">
        <v>1.8</v>
      </c>
      <c r="B13" s="37" t="n"/>
      <c r="C13" s="38" t="inlineStr">
        <is>
          <t>防雷接地系统</t>
        </is>
      </c>
      <c r="D13" s="39" t="n"/>
      <c r="E13" s="45" t="inlineStr">
        <is>
          <t>m</t>
        </is>
      </c>
      <c r="F13" s="41" t="n"/>
      <c r="G13" s="41" t="n"/>
      <c r="H13" s="41" t="n"/>
      <c r="I13" s="454" t="n"/>
      <c r="J13" s="452" t="inlineStr">
        <is>
          <t>单体建筑面积</t>
        </is>
      </c>
      <c r="K13" s="454" t="n"/>
      <c r="L13" s="54" t="inlineStr">
        <is>
          <t>防雷接地长度</t>
        </is>
      </c>
    </row>
    <row r="14" outlineLevel="1" ht="25" customFormat="1" customHeight="1" s="3">
      <c r="A14" s="36" t="n">
        <v>1.9</v>
      </c>
      <c r="B14" s="37" t="n"/>
      <c r="C14" s="38" t="inlineStr">
        <is>
          <t>人防电气系统</t>
        </is>
      </c>
      <c r="D14" s="39" t="n"/>
      <c r="E14" s="45" t="inlineStr">
        <is>
          <t>㎡</t>
        </is>
      </c>
      <c r="F14" s="41" t="n"/>
      <c r="G14" s="41" t="n"/>
      <c r="H14" s="41" t="n"/>
      <c r="I14" s="451" t="n"/>
      <c r="J14" s="452" t="inlineStr">
        <is>
          <t>单体建筑面积</t>
        </is>
      </c>
      <c r="K14" s="451" t="n"/>
      <c r="L14" s="54" t="inlineStr">
        <is>
          <t>人防面积</t>
        </is>
      </c>
    </row>
    <row r="15" outlineLevel="1" ht="25" customFormat="1" customHeight="1" s="3">
      <c r="A15" s="462" t="n">
        <v>1.1</v>
      </c>
      <c r="B15" s="37" t="n"/>
      <c r="C15" s="38" t="inlineStr">
        <is>
          <t>其他电气设备安装（调试、套管等）</t>
        </is>
      </c>
      <c r="D15" s="39" t="n"/>
      <c r="E15" s="45" t="inlineStr">
        <is>
          <t>㎡</t>
        </is>
      </c>
      <c r="F15" s="41" t="n"/>
      <c r="G15" s="41" t="n"/>
      <c r="H15" s="41" t="n"/>
      <c r="I15" s="451" t="n"/>
      <c r="J15" s="452" t="inlineStr">
        <is>
          <t>单体建筑面积</t>
        </is>
      </c>
      <c r="K15" s="451" t="n"/>
      <c r="L15" s="452" t="inlineStr">
        <is>
          <t>单体建筑面积</t>
        </is>
      </c>
    </row>
    <row r="16" ht="25" customFormat="1" customHeight="1" s="3">
      <c r="A16" s="27" t="n">
        <v>2</v>
      </c>
      <c r="B16" s="28" t="n"/>
      <c r="C16" s="29" t="inlineStr">
        <is>
          <t>给排水工程</t>
        </is>
      </c>
      <c r="D16" s="56" t="n"/>
      <c r="E16" s="57" t="inlineStr">
        <is>
          <t>㎡</t>
        </is>
      </c>
      <c r="F16" s="58" t="n"/>
      <c r="G16" s="58" t="n"/>
      <c r="H16" s="58" t="n"/>
      <c r="I16" s="455" t="n"/>
      <c r="J16" s="456" t="inlineStr">
        <is>
          <t>单体建筑面积</t>
        </is>
      </c>
      <c r="K16" s="455" t="n"/>
      <c r="L16" s="61" t="n"/>
    </row>
    <row r="17" outlineLevel="1" ht="25" customFormat="1" customHeight="1" s="3">
      <c r="A17" s="36" t="n">
        <v>2.1</v>
      </c>
      <c r="B17" s="37" t="n"/>
      <c r="C17" s="38" t="inlineStr">
        <is>
          <t>给水系统（含支架、套管，余同）</t>
        </is>
      </c>
      <c r="D17" s="39" t="n"/>
      <c r="E17" s="45" t="inlineStr">
        <is>
          <t>m</t>
        </is>
      </c>
      <c r="F17" s="41" t="n"/>
      <c r="G17" s="41" t="n"/>
      <c r="H17" s="41" t="n"/>
      <c r="I17" s="454" t="n"/>
      <c r="J17" s="452" t="inlineStr">
        <is>
          <t>地下建筑面积</t>
        </is>
      </c>
      <c r="K17" s="454" t="n"/>
      <c r="L17" s="452" t="inlineStr">
        <is>
          <t>给水长度</t>
        </is>
      </c>
    </row>
    <row r="18" outlineLevel="1" ht="25" customFormat="1" customHeight="1" s="3">
      <c r="A18" s="36" t="n">
        <v>2.2</v>
      </c>
      <c r="B18" s="37" t="n"/>
      <c r="C18" s="38" t="inlineStr">
        <is>
          <t>热水系统</t>
        </is>
      </c>
      <c r="D18" s="39" t="n"/>
      <c r="E18" s="45" t="inlineStr">
        <is>
          <t>m</t>
        </is>
      </c>
      <c r="F18" s="41" t="n"/>
      <c r="G18" s="41" t="n"/>
      <c r="H18" s="41" t="n"/>
      <c r="I18" s="454" t="n"/>
      <c r="J18" s="452" t="inlineStr">
        <is>
          <t>地下建筑面积</t>
        </is>
      </c>
      <c r="K18" s="454" t="n"/>
      <c r="L18" s="452" t="inlineStr">
        <is>
          <t>热水长度</t>
        </is>
      </c>
    </row>
    <row r="19" outlineLevel="1" ht="25" customFormat="1" customHeight="1" s="3">
      <c r="A19" s="36" t="n">
        <v>2.3</v>
      </c>
      <c r="B19" s="37" t="n"/>
      <c r="C19" s="38" t="inlineStr">
        <is>
          <t>污废水系统</t>
        </is>
      </c>
      <c r="D19" s="39" t="n"/>
      <c r="E19" s="45" t="inlineStr">
        <is>
          <t>m</t>
        </is>
      </c>
      <c r="F19" s="41" t="n"/>
      <c r="G19" s="41" t="n"/>
      <c r="H19" s="41" t="n"/>
      <c r="I19" s="454" t="n"/>
      <c r="J19" s="452" t="inlineStr">
        <is>
          <t>地下建筑面积</t>
        </is>
      </c>
      <c r="K19" s="454" t="n"/>
      <c r="L19" s="452" t="inlineStr">
        <is>
          <t>污废水长度</t>
        </is>
      </c>
    </row>
    <row r="20" outlineLevel="1" ht="25" customFormat="1" customHeight="1" s="3">
      <c r="A20" s="36" t="n">
        <v>2.4</v>
      </c>
      <c r="B20" s="37" t="n"/>
      <c r="C20" s="38" t="inlineStr">
        <is>
          <t>压力排水系统</t>
        </is>
      </c>
      <c r="D20" s="52" t="n"/>
      <c r="E20" s="45" t="inlineStr">
        <is>
          <t>m</t>
        </is>
      </c>
      <c r="F20" s="53" t="n"/>
      <c r="G20" s="53" t="n"/>
      <c r="H20" s="53" t="n"/>
      <c r="I20" s="454" t="n"/>
      <c r="J20" s="452" t="inlineStr">
        <is>
          <t>单体建筑面积</t>
        </is>
      </c>
      <c r="K20" s="454" t="n"/>
      <c r="L20" s="452" t="inlineStr">
        <is>
          <t>压力排水长度</t>
        </is>
      </c>
    </row>
    <row r="21" outlineLevel="1" ht="25" customFormat="1" customHeight="1" s="3">
      <c r="A21" s="36" t="n">
        <v>2.5</v>
      </c>
      <c r="B21" s="37" t="n"/>
      <c r="C21" s="38" t="inlineStr">
        <is>
          <t>雨水系统</t>
        </is>
      </c>
      <c r="D21" s="39" t="n"/>
      <c r="E21" s="45" t="inlineStr">
        <is>
          <t>m</t>
        </is>
      </c>
      <c r="F21" s="41" t="n"/>
      <c r="G21" s="41" t="n"/>
      <c r="H21" s="41" t="n"/>
      <c r="I21" s="454" t="n"/>
      <c r="J21" s="452" t="inlineStr">
        <is>
          <t>单体建筑面积</t>
        </is>
      </c>
      <c r="K21" s="454" t="n"/>
      <c r="L21" s="452" t="inlineStr">
        <is>
          <t>雨水长度</t>
        </is>
      </c>
    </row>
    <row r="22" outlineLevel="1" ht="25" customFormat="1" customHeight="1" s="3">
      <c r="A22" s="36" t="n">
        <v>2.6</v>
      </c>
      <c r="B22" s="37" t="n"/>
      <c r="C22" s="38" t="inlineStr">
        <is>
          <t>卫生器具安装</t>
        </is>
      </c>
      <c r="D22" s="39" t="n"/>
      <c r="E22" s="40" t="inlineStr">
        <is>
          <t>套</t>
        </is>
      </c>
      <c r="F22" s="41" t="n"/>
      <c r="G22" s="41" t="n"/>
      <c r="H22" s="41" t="n"/>
      <c r="I22" s="454" t="n"/>
      <c r="J22" s="452" t="inlineStr">
        <is>
          <t>单体建筑面积</t>
        </is>
      </c>
      <c r="K22" s="454" t="n"/>
      <c r="L22" s="452" t="inlineStr">
        <is>
          <t>卫生器具套数</t>
        </is>
      </c>
    </row>
    <row r="23" outlineLevel="1" ht="25" customFormat="1" customHeight="1" s="3">
      <c r="A23" s="36" t="n">
        <v>2.7</v>
      </c>
      <c r="B23" s="37" t="n"/>
      <c r="C23" s="38" t="inlineStr">
        <is>
          <t>人防给排水系统</t>
        </is>
      </c>
      <c r="D23" s="39" t="n"/>
      <c r="E23" s="45" t="inlineStr">
        <is>
          <t>m</t>
        </is>
      </c>
      <c r="F23" s="41" t="n"/>
      <c r="G23" s="41" t="n"/>
      <c r="H23" s="41" t="n"/>
      <c r="I23" s="454" t="n"/>
      <c r="J23" s="452" t="inlineStr">
        <is>
          <t>单体建筑面积</t>
        </is>
      </c>
      <c r="K23" s="454" t="n"/>
      <c r="L23" s="452" t="inlineStr">
        <is>
          <t>人防给排水长度</t>
        </is>
      </c>
    </row>
    <row r="24" outlineLevel="1" ht="25" customFormat="1" customHeight="1" s="3">
      <c r="A24" s="36" t="n">
        <v>2.8</v>
      </c>
      <c r="B24" s="37" t="n"/>
      <c r="C24" s="38" t="inlineStr">
        <is>
          <t>再生水、中水系统</t>
        </is>
      </c>
      <c r="D24" s="39" t="n"/>
      <c r="E24" s="45" t="inlineStr">
        <is>
          <t>m</t>
        </is>
      </c>
      <c r="F24" s="41" t="n"/>
      <c r="G24" s="41" t="n"/>
      <c r="H24" s="41" t="n"/>
      <c r="I24" s="62" t="n"/>
      <c r="J24" s="452" t="inlineStr">
        <is>
          <t>单体建筑面积</t>
        </is>
      </c>
      <c r="K24" s="62" t="n"/>
      <c r="L24" s="463" t="inlineStr">
        <is>
          <t>再生水、中水长度</t>
        </is>
      </c>
    </row>
    <row r="25" outlineLevel="1" ht="25" customFormat="1" customHeight="1" s="3">
      <c r="A25" s="36" t="n">
        <v>2.9</v>
      </c>
      <c r="B25" s="37" t="n"/>
      <c r="C25" s="38" t="inlineStr">
        <is>
          <t>雨水回收系统</t>
        </is>
      </c>
      <c r="D25" s="39" t="n"/>
      <c r="E25" s="45" t="inlineStr">
        <is>
          <t>m</t>
        </is>
      </c>
      <c r="F25" s="41" t="n"/>
      <c r="G25" s="41" t="n"/>
      <c r="H25" s="41" t="n"/>
      <c r="I25" s="62" t="n"/>
      <c r="J25" s="452" t="inlineStr">
        <is>
          <t>单体建筑面积</t>
        </is>
      </c>
      <c r="K25" s="62" t="n"/>
      <c r="L25" s="452" t="inlineStr">
        <is>
          <t>雨水回收长度</t>
        </is>
      </c>
    </row>
    <row r="26" outlineLevel="1" ht="25" customFormat="1" customHeight="1" s="3">
      <c r="A26" s="462" t="n">
        <v>2.1</v>
      </c>
      <c r="B26" s="37" t="n"/>
      <c r="C26" s="38" t="inlineStr">
        <is>
          <t>其他给排水系统</t>
        </is>
      </c>
      <c r="D26" s="52" t="n"/>
      <c r="E26" s="45" t="inlineStr">
        <is>
          <t>m</t>
        </is>
      </c>
      <c r="F26" s="53" t="n"/>
      <c r="G26" s="53" t="n"/>
      <c r="H26" s="53" t="n"/>
      <c r="I26" s="454" t="n"/>
      <c r="J26" s="452" t="inlineStr">
        <is>
          <t>单体建筑面积</t>
        </is>
      </c>
      <c r="K26" s="454" t="n"/>
      <c r="L26" s="452" t="inlineStr">
        <is>
          <t>其他给排水长度</t>
        </is>
      </c>
    </row>
    <row r="27" ht="25" customFormat="1" customHeight="1" s="3">
      <c r="A27" s="27" t="n">
        <v>3</v>
      </c>
      <c r="B27" s="28" t="n"/>
      <c r="C27" s="29" t="inlineStr">
        <is>
          <t>消防工程</t>
        </is>
      </c>
      <c r="D27" s="64" t="n"/>
      <c r="E27" s="57" t="inlineStr">
        <is>
          <t>㎡</t>
        </is>
      </c>
      <c r="F27" s="65" t="n"/>
      <c r="G27" s="65" t="n"/>
      <c r="H27" s="65" t="n"/>
      <c r="I27" s="66" t="n"/>
      <c r="J27" s="456" t="inlineStr">
        <is>
          <t>单体建筑面积</t>
        </is>
      </c>
      <c r="K27" s="66" t="n"/>
      <c r="L27" s="67" t="n"/>
    </row>
    <row r="28" outlineLevel="1" ht="25" customFormat="1" customHeight="1" s="3">
      <c r="A28" s="36" t="n">
        <v>3.1</v>
      </c>
      <c r="B28" s="37" t="n"/>
      <c r="C28" s="38" t="inlineStr">
        <is>
          <t>水灭火系统-自动喷淋灭火系统</t>
        </is>
      </c>
      <c r="D28" s="39" t="n"/>
      <c r="E28" s="45" t="inlineStr">
        <is>
          <t>m</t>
        </is>
      </c>
      <c r="F28" s="41" t="n"/>
      <c r="G28" s="41" t="n"/>
      <c r="H28" s="41" t="n"/>
      <c r="I28" s="62" t="n"/>
      <c r="J28" s="452" t="inlineStr">
        <is>
          <t>单体建筑面积</t>
        </is>
      </c>
      <c r="K28" s="62" t="n"/>
      <c r="L28" s="68" t="inlineStr">
        <is>
          <t>自动喷淋长度</t>
        </is>
      </c>
    </row>
    <row r="29" outlineLevel="1" ht="25" customFormat="1" customHeight="1" s="3">
      <c r="A29" s="36" t="n">
        <v>3.2</v>
      </c>
      <c r="B29" s="37" t="n"/>
      <c r="C29" s="38" t="inlineStr">
        <is>
          <t>水灭火系统-消火栓系统</t>
        </is>
      </c>
      <c r="D29" s="39" t="n"/>
      <c r="E29" s="45" t="inlineStr">
        <is>
          <t>套</t>
        </is>
      </c>
      <c r="F29" s="41" t="n"/>
      <c r="G29" s="41" t="n"/>
      <c r="H29" s="41" t="n"/>
      <c r="I29" s="62" t="n"/>
      <c r="J29" s="452" t="inlineStr">
        <is>
          <t>单体建筑面积</t>
        </is>
      </c>
      <c r="K29" s="62" t="n"/>
      <c r="L29" s="68" t="inlineStr">
        <is>
          <t>消火栓套数</t>
        </is>
      </c>
    </row>
    <row r="30" outlineLevel="1" ht="25" customFormat="1" customHeight="1" s="3">
      <c r="A30" s="36" t="n">
        <v>3.3</v>
      </c>
      <c r="B30" s="37" t="n"/>
      <c r="C30" s="38" t="inlineStr">
        <is>
          <t>水灭火系统-消防水炮系统</t>
        </is>
      </c>
      <c r="D30" s="39" t="n"/>
      <c r="E30" s="45" t="inlineStr">
        <is>
          <t>套</t>
        </is>
      </c>
      <c r="F30" s="41" t="n"/>
      <c r="G30" s="41" t="n"/>
      <c r="H30" s="41" t="n"/>
      <c r="I30" s="457" t="n"/>
      <c r="J30" s="452" t="inlineStr">
        <is>
          <t>单体建筑面积</t>
        </is>
      </c>
      <c r="K30" s="457" t="n"/>
      <c r="L30" s="68" t="inlineStr">
        <is>
          <t>消防水炮套数</t>
        </is>
      </c>
    </row>
    <row r="31" outlineLevel="1" ht="25" customFormat="1" customHeight="1" s="3">
      <c r="A31" s="36" t="n">
        <v>3.4</v>
      </c>
      <c r="B31" s="37" t="n"/>
      <c r="C31" s="38" t="inlineStr">
        <is>
          <t>气体灭火系统</t>
        </is>
      </c>
      <c r="D31" s="52" t="n"/>
      <c r="E31" s="45" t="inlineStr">
        <is>
          <t>套</t>
        </is>
      </c>
      <c r="F31" s="53" t="n"/>
      <c r="G31" s="53" t="n"/>
      <c r="H31" s="53" t="n"/>
      <c r="I31" s="454" t="n"/>
      <c r="J31" s="452" t="inlineStr">
        <is>
          <t>单体建筑面积</t>
        </is>
      </c>
      <c r="K31" s="454" t="n"/>
      <c r="L31" s="68" t="inlineStr">
        <is>
          <t>气体灭火套数</t>
        </is>
      </c>
    </row>
    <row r="32" outlineLevel="1" ht="25" customFormat="1" customHeight="1" s="3">
      <c r="A32" s="36" t="n">
        <v>3.5</v>
      </c>
      <c r="B32" s="37" t="n"/>
      <c r="C32" s="38" t="inlineStr">
        <is>
          <t>泡沫灭火系统</t>
        </is>
      </c>
      <c r="D32" s="39" t="n"/>
      <c r="E32" s="45" t="inlineStr">
        <is>
          <t>套</t>
        </is>
      </c>
      <c r="F32" s="41" t="n"/>
      <c r="G32" s="41" t="n"/>
      <c r="H32" s="41" t="n"/>
      <c r="I32" s="457" t="n"/>
      <c r="J32" s="452" t="inlineStr">
        <is>
          <t>单体建筑面积</t>
        </is>
      </c>
      <c r="K32" s="457" t="n"/>
      <c r="L32" s="70" t="inlineStr">
        <is>
          <t>泡沫灭火套数</t>
        </is>
      </c>
    </row>
    <row r="33" outlineLevel="1" ht="25" customFormat="1" customHeight="1" s="3">
      <c r="A33" s="36" t="n">
        <v>3.6</v>
      </c>
      <c r="B33" s="37" t="n"/>
      <c r="C33" s="38" t="inlineStr">
        <is>
          <t>火灾自动报警系统</t>
        </is>
      </c>
      <c r="D33" s="39" t="n"/>
      <c r="E33" s="45" t="inlineStr">
        <is>
          <t>套</t>
        </is>
      </c>
      <c r="F33" s="41" t="n"/>
      <c r="G33" s="41" t="n"/>
      <c r="H33" s="41" t="n"/>
      <c r="I33" s="457" t="n"/>
      <c r="J33" s="452" t="inlineStr">
        <is>
          <t>单体建筑面积</t>
        </is>
      </c>
      <c r="K33" s="457" t="n"/>
      <c r="L33" s="70" t="inlineStr">
        <is>
          <t>火灾自动报警套数</t>
        </is>
      </c>
    </row>
    <row r="34" outlineLevel="1" ht="25" customFormat="1" customHeight="1" s="3">
      <c r="A34" s="36" t="n">
        <v>3.7</v>
      </c>
      <c r="B34" s="37" t="n"/>
      <c r="C34" s="38" t="inlineStr">
        <is>
          <t>电气火灾监控系统</t>
        </is>
      </c>
      <c r="D34" s="39" t="n"/>
      <c r="E34" s="45" t="inlineStr">
        <is>
          <t>套</t>
        </is>
      </c>
      <c r="F34" s="41" t="n"/>
      <c r="G34" s="41" t="n"/>
      <c r="H34" s="41" t="n"/>
      <c r="I34" s="457" t="n"/>
      <c r="J34" s="452" t="inlineStr">
        <is>
          <t>单体建筑面积</t>
        </is>
      </c>
      <c r="K34" s="457" t="n"/>
      <c r="L34" s="70" t="inlineStr">
        <is>
          <t>电气火灾监控套数</t>
        </is>
      </c>
    </row>
    <row r="35" outlineLevel="1" ht="25" customFormat="1" customHeight="1" s="3">
      <c r="A35" s="36" t="n">
        <v>3.8</v>
      </c>
      <c r="B35" s="37" t="n"/>
      <c r="C35" s="38" t="inlineStr">
        <is>
          <t>消防电源监控系统</t>
        </is>
      </c>
      <c r="D35" s="39" t="n"/>
      <c r="E35" s="45" t="inlineStr">
        <is>
          <t>套</t>
        </is>
      </c>
      <c r="F35" s="41" t="n"/>
      <c r="G35" s="41" t="n"/>
      <c r="H35" s="41" t="n"/>
      <c r="I35" s="457" t="n"/>
      <c r="J35" s="452" t="inlineStr">
        <is>
          <t>单体建筑面积</t>
        </is>
      </c>
      <c r="K35" s="457" t="n"/>
      <c r="L35" s="70" t="inlineStr">
        <is>
          <t>消防电源监控套数</t>
        </is>
      </c>
    </row>
    <row r="36" outlineLevel="1" ht="25" customFormat="1" customHeight="1" s="3">
      <c r="A36" s="36" t="n">
        <v>3.9</v>
      </c>
      <c r="B36" s="37" t="n"/>
      <c r="C36" s="38" t="inlineStr">
        <is>
          <t>防火门监控系统</t>
        </is>
      </c>
      <c r="D36" s="39" t="n"/>
      <c r="E36" s="45" t="inlineStr">
        <is>
          <t>套</t>
        </is>
      </c>
      <c r="F36" s="41" t="n"/>
      <c r="G36" s="41" t="n"/>
      <c r="H36" s="41" t="n"/>
      <c r="I36" s="457" t="n"/>
      <c r="J36" s="452" t="inlineStr">
        <is>
          <t>单体建筑面积</t>
        </is>
      </c>
      <c r="K36" s="457" t="n"/>
      <c r="L36" s="70" t="inlineStr">
        <is>
          <t>防火门监控套数</t>
        </is>
      </c>
    </row>
    <row r="37" outlineLevel="1" ht="25" customFormat="1" customHeight="1" s="3">
      <c r="A37" s="462" t="n">
        <v>3.1</v>
      </c>
      <c r="B37" s="37" t="n"/>
      <c r="C37" s="38" t="inlineStr">
        <is>
          <t>余压监控系统</t>
        </is>
      </c>
      <c r="D37" s="39" t="n"/>
      <c r="E37" s="45" t="inlineStr">
        <is>
          <t>套</t>
        </is>
      </c>
      <c r="F37" s="41" t="n"/>
      <c r="G37" s="41" t="n"/>
      <c r="H37" s="41" t="n"/>
      <c r="I37" s="457" t="n"/>
      <c r="J37" s="452" t="inlineStr">
        <is>
          <t>单体建筑面积</t>
        </is>
      </c>
      <c r="K37" s="457" t="n"/>
      <c r="L37" s="70" t="inlineStr">
        <is>
          <t>余压监控套数</t>
        </is>
      </c>
    </row>
    <row r="38" outlineLevel="1" ht="25" customFormat="1" customHeight="1" s="3">
      <c r="A38" s="36" t="n">
        <v>3.11</v>
      </c>
      <c r="B38" s="37" t="n"/>
      <c r="C38" s="38" t="inlineStr">
        <is>
          <t>应急照明及疏散指示系统</t>
        </is>
      </c>
      <c r="D38" s="39" t="n"/>
      <c r="E38" s="45" t="inlineStr">
        <is>
          <t>套</t>
        </is>
      </c>
      <c r="F38" s="41" t="n"/>
      <c r="G38" s="41" t="n"/>
      <c r="H38" s="41" t="n"/>
      <c r="I38" s="457" t="n"/>
      <c r="J38" s="452" t="inlineStr">
        <is>
          <t>单体建筑面积</t>
        </is>
      </c>
      <c r="K38" s="457" t="n"/>
      <c r="L38" s="70" t="inlineStr">
        <is>
          <t>应急照明及疏散指示套数</t>
        </is>
      </c>
    </row>
    <row r="39" outlineLevel="1" ht="25" customFormat="1" customHeight="1" s="3">
      <c r="A39" s="36" t="n">
        <v>3.12</v>
      </c>
      <c r="B39" s="37" t="n"/>
      <c r="C39" s="38" t="inlineStr">
        <is>
          <t>其他消防系统</t>
        </is>
      </c>
      <c r="D39" s="52" t="n"/>
      <c r="E39" s="45" t="inlineStr">
        <is>
          <t>套</t>
        </is>
      </c>
      <c r="F39" s="53" t="n"/>
      <c r="G39" s="53" t="n"/>
      <c r="H39" s="53" t="n"/>
      <c r="I39" s="454" t="n"/>
      <c r="J39" s="452" t="inlineStr">
        <is>
          <t>单体建筑面积</t>
        </is>
      </c>
      <c r="K39" s="454" t="n"/>
      <c r="L39" s="70" t="inlineStr">
        <is>
          <t>其他消防套数</t>
        </is>
      </c>
    </row>
    <row r="40" collapsed="1" ht="25" customFormat="1" customHeight="1" s="3">
      <c r="A40" s="27" t="n">
        <v>4</v>
      </c>
      <c r="B40" s="28" t="n"/>
      <c r="C40" s="29" t="inlineStr">
        <is>
          <t>通风空调、采暖工程</t>
        </is>
      </c>
      <c r="D40" s="64" t="n"/>
      <c r="E40" s="57" t="inlineStr">
        <is>
          <t>㎡</t>
        </is>
      </c>
      <c r="F40" s="65" t="n"/>
      <c r="G40" s="65" t="n"/>
      <c r="H40" s="65" t="n"/>
      <c r="I40" s="464" t="n"/>
      <c r="J40" s="456" t="inlineStr">
        <is>
          <t>单体建筑面积</t>
        </is>
      </c>
      <c r="K40" s="464" t="n"/>
      <c r="L40" s="72" t="n"/>
    </row>
    <row r="41" hidden="1" outlineLevel="1" ht="25" customFormat="1" customHeight="1" s="3">
      <c r="A41" s="36" t="n">
        <v>4.1</v>
      </c>
      <c r="B41" s="37" t="n"/>
      <c r="C41" s="38" t="inlineStr">
        <is>
          <t>通风系统</t>
        </is>
      </c>
      <c r="D41" s="73" t="n"/>
      <c r="E41" s="45" t="inlineStr">
        <is>
          <t>㎡</t>
        </is>
      </c>
      <c r="F41" s="74" t="n"/>
      <c r="G41" s="74" t="n"/>
      <c r="H41" s="74" t="n"/>
      <c r="I41" s="457" t="n"/>
      <c r="J41" s="452" t="inlineStr">
        <is>
          <t>单体建筑面积</t>
        </is>
      </c>
      <c r="K41" s="457" t="n"/>
      <c r="L41" s="48" t="inlineStr">
        <is>
          <t>通风面积</t>
        </is>
      </c>
    </row>
    <row r="42" hidden="1" outlineLevel="1" ht="25" customFormat="1" customHeight="1" s="3">
      <c r="A42" s="36" t="n">
        <v>4.2</v>
      </c>
      <c r="B42" s="37" t="n"/>
      <c r="C42" s="38" t="inlineStr">
        <is>
          <t>防排烟系统</t>
        </is>
      </c>
      <c r="D42" s="39" t="n"/>
      <c r="E42" s="45" t="inlineStr">
        <is>
          <t>㎡</t>
        </is>
      </c>
      <c r="F42" s="41" t="n"/>
      <c r="G42" s="41" t="n"/>
      <c r="H42" s="41" t="n"/>
      <c r="I42" s="457" t="n"/>
      <c r="J42" s="452" t="inlineStr">
        <is>
          <t>单体建筑面积</t>
        </is>
      </c>
      <c r="K42" s="457" t="n"/>
      <c r="L42" s="48" t="inlineStr">
        <is>
          <t>防排烟面积</t>
        </is>
      </c>
    </row>
    <row r="43" hidden="1" outlineLevel="1" ht="25" customFormat="1" customHeight="1" s="3">
      <c r="A43" s="36" t="n">
        <v>4.3</v>
      </c>
      <c r="B43" s="37" t="n"/>
      <c r="C43" s="38" t="inlineStr">
        <is>
          <t>人防通风系统</t>
        </is>
      </c>
      <c r="D43" s="75" t="n"/>
      <c r="E43" s="45" t="inlineStr">
        <is>
          <t>㎡</t>
        </is>
      </c>
      <c r="F43" s="52" t="n"/>
      <c r="G43" s="52" t="n"/>
      <c r="H43" s="52" t="n"/>
      <c r="I43" s="454" t="n"/>
      <c r="J43" s="454" t="inlineStr">
        <is>
          <t>单体建筑面积</t>
        </is>
      </c>
      <c r="K43" s="454" t="n"/>
      <c r="L43" s="48" t="inlineStr">
        <is>
          <t>人防通风面积</t>
        </is>
      </c>
    </row>
    <row r="44" hidden="1" outlineLevel="1" ht="25" customFormat="1" customHeight="1" s="3">
      <c r="A44" s="36" t="n">
        <v>4.4</v>
      </c>
      <c r="B44" s="37" t="n"/>
      <c r="C44" s="38" t="inlineStr">
        <is>
          <t>空调风系统</t>
        </is>
      </c>
      <c r="D44" s="39" t="n"/>
      <c r="E44" s="45" t="inlineStr">
        <is>
          <t>㎡</t>
        </is>
      </c>
      <c r="F44" s="41" t="n"/>
      <c r="G44" s="41" t="n"/>
      <c r="H44" s="41" t="n"/>
      <c r="I44" s="457" t="n"/>
      <c r="J44" s="452" t="inlineStr">
        <is>
          <t>单体建筑面积</t>
        </is>
      </c>
      <c r="K44" s="457" t="n"/>
      <c r="L44" s="48" t="inlineStr">
        <is>
          <t>空调风面积</t>
        </is>
      </c>
    </row>
    <row r="45" hidden="1" outlineLevel="1" ht="25" customFormat="1" customHeight="1" s="3">
      <c r="A45" s="36" t="n">
        <v>4.5</v>
      </c>
      <c r="B45" s="37" t="n"/>
      <c r="C45" s="38" t="inlineStr">
        <is>
          <t>空调水系统</t>
        </is>
      </c>
      <c r="D45" s="39" t="n"/>
      <c r="E45" s="45" t="inlineStr">
        <is>
          <t>m</t>
        </is>
      </c>
      <c r="F45" s="41" t="n"/>
      <c r="G45" s="41" t="n"/>
      <c r="H45" s="41" t="n"/>
      <c r="I45" s="457" t="n"/>
      <c r="J45" s="452" t="inlineStr">
        <is>
          <t>单体建筑面积</t>
        </is>
      </c>
      <c r="K45" s="457" t="n"/>
      <c r="L45" s="48" t="inlineStr">
        <is>
          <t>空调水长度</t>
        </is>
      </c>
    </row>
    <row r="46" hidden="1" outlineLevel="1" ht="25" customFormat="1" customHeight="1" s="3">
      <c r="A46" s="36" t="n">
        <v>4.6</v>
      </c>
      <c r="B46" s="37" t="n"/>
      <c r="C46" s="38" t="inlineStr">
        <is>
          <t>冷水机组群控系统</t>
        </is>
      </c>
      <c r="D46" s="39" t="n"/>
      <c r="E46" s="45" t="inlineStr">
        <is>
          <t>套</t>
        </is>
      </c>
      <c r="F46" s="41" t="n"/>
      <c r="G46" s="41" t="n"/>
      <c r="H46" s="41" t="n"/>
      <c r="I46" s="457" t="n"/>
      <c r="J46" s="452" t="inlineStr">
        <is>
          <t>单体建筑面积</t>
        </is>
      </c>
      <c r="K46" s="457" t="n"/>
      <c r="L46" s="48" t="inlineStr">
        <is>
          <t>冷水机组群控套数</t>
        </is>
      </c>
    </row>
    <row r="47" hidden="1" outlineLevel="1" ht="25" customFormat="1" customHeight="1" s="3">
      <c r="A47" s="36" t="n">
        <v>4.7</v>
      </c>
      <c r="B47" s="37" t="n"/>
      <c r="C47" s="38" t="inlineStr">
        <is>
          <t>多联机(热泵)空调系统</t>
        </is>
      </c>
      <c r="D47" s="39" t="n"/>
      <c r="E47" s="45" t="inlineStr">
        <is>
          <t>套</t>
        </is>
      </c>
      <c r="F47" s="41" t="n"/>
      <c r="G47" s="41" t="n"/>
      <c r="H47" s="41" t="n"/>
      <c r="I47" s="457" t="n"/>
      <c r="J47" s="452" t="inlineStr">
        <is>
          <t>单体建筑面积</t>
        </is>
      </c>
      <c r="K47" s="457" t="n"/>
      <c r="L47" s="48" t="inlineStr">
        <is>
          <t>多联机(热泵)空调套数</t>
        </is>
      </c>
    </row>
    <row r="48" hidden="1" outlineLevel="1" ht="25" customFormat="1" customHeight="1" s="3">
      <c r="A48" s="36" t="n">
        <v>4.8</v>
      </c>
      <c r="B48" s="37" t="n"/>
      <c r="C48" s="38" t="inlineStr">
        <is>
          <t>热泵换热系统</t>
        </is>
      </c>
      <c r="D48" s="52" t="n"/>
      <c r="E48" s="45" t="inlineStr">
        <is>
          <t>m</t>
        </is>
      </c>
      <c r="F48" s="53" t="n"/>
      <c r="G48" s="53" t="n"/>
      <c r="H48" s="53" t="n"/>
      <c r="I48" s="454" t="n"/>
      <c r="J48" s="452" t="inlineStr">
        <is>
          <t>单体建筑面积</t>
        </is>
      </c>
      <c r="K48" s="454" t="n"/>
      <c r="L48" s="48" t="inlineStr">
        <is>
          <t>热泵换热套数</t>
        </is>
      </c>
    </row>
    <row r="49" hidden="1" outlineLevel="1" ht="25" customFormat="1" customHeight="1" s="3">
      <c r="A49" s="36" t="n">
        <v>4.9</v>
      </c>
      <c r="B49" s="37" t="n"/>
      <c r="C49" s="38" t="inlineStr">
        <is>
          <t>地暖系统</t>
        </is>
      </c>
      <c r="D49" s="76" t="n"/>
      <c r="E49" s="45" t="inlineStr">
        <is>
          <t>㎡</t>
        </is>
      </c>
      <c r="F49" s="77" t="n"/>
      <c r="G49" s="77" t="n"/>
      <c r="H49" s="77" t="n"/>
      <c r="I49" s="457" t="n"/>
      <c r="J49" s="452" t="inlineStr">
        <is>
          <t>单体建筑面积</t>
        </is>
      </c>
      <c r="K49" s="457" t="n"/>
      <c r="L49" s="48" t="inlineStr">
        <is>
          <t>地暖面积</t>
        </is>
      </c>
    </row>
    <row r="50" hidden="1" outlineLevel="1" ht="25" customFormat="1" customHeight="1" s="3">
      <c r="A50" s="462" t="n">
        <v>4.1</v>
      </c>
      <c r="B50" s="37" t="n"/>
      <c r="C50" s="38" t="inlineStr">
        <is>
          <t>设备自控系统</t>
        </is>
      </c>
      <c r="D50" s="78" t="n"/>
      <c r="E50" s="45" t="inlineStr">
        <is>
          <t>㎡</t>
        </is>
      </c>
      <c r="F50" s="79" t="n"/>
      <c r="G50" s="79" t="n"/>
      <c r="H50" s="79" t="n"/>
      <c r="I50" s="457" t="n"/>
      <c r="J50" s="452" t="inlineStr">
        <is>
          <t>单体建筑面积</t>
        </is>
      </c>
      <c r="K50" s="457" t="n"/>
      <c r="L50" s="48" t="inlineStr">
        <is>
          <t>设备自控面积</t>
        </is>
      </c>
    </row>
    <row r="51" hidden="1" outlineLevel="1" ht="25" customFormat="1" customHeight="1" s="3">
      <c r="A51" s="36" t="n">
        <v>4.11</v>
      </c>
      <c r="B51" s="37" t="n"/>
      <c r="C51" s="38" t="inlineStr">
        <is>
          <t>其他通风空调系统</t>
        </is>
      </c>
      <c r="D51" s="80" t="n"/>
      <c r="E51" s="45" t="inlineStr">
        <is>
          <t>㎡</t>
        </is>
      </c>
      <c r="F51" s="81" t="n"/>
      <c r="G51" s="81" t="n"/>
      <c r="H51" s="81" t="n"/>
      <c r="I51" s="457" t="n"/>
      <c r="J51" s="452" t="inlineStr">
        <is>
          <t>单体建筑面积</t>
        </is>
      </c>
      <c r="K51" s="457" t="n"/>
      <c r="L51" s="48" t="inlineStr">
        <is>
          <t>其他通风空调面积</t>
        </is>
      </c>
    </row>
    <row r="52" collapsed="1" ht="25" customFormat="1" customHeight="1" s="3">
      <c r="A52" s="27" t="n">
        <v>5</v>
      </c>
      <c r="B52" s="28" t="n"/>
      <c r="C52" s="29" t="inlineStr">
        <is>
          <t>建筑智能化工程</t>
        </is>
      </c>
      <c r="D52" s="56" t="n"/>
      <c r="E52" s="57" t="inlineStr">
        <is>
          <t>㎡</t>
        </is>
      </c>
      <c r="F52" s="58" t="n"/>
      <c r="G52" s="58" t="n"/>
      <c r="H52" s="58" t="n"/>
      <c r="I52" s="455" t="n"/>
      <c r="J52" s="456" t="inlineStr">
        <is>
          <t>单体建筑面积</t>
        </is>
      </c>
      <c r="K52" s="455" t="n"/>
      <c r="L52" s="61" t="n"/>
    </row>
    <row r="53" hidden="1" outlineLevel="1" ht="25" customFormat="1" customHeight="1" s="3">
      <c r="A53" s="36" t="n">
        <v>5.1</v>
      </c>
      <c r="B53" s="37" t="n"/>
      <c r="C53" s="38" t="inlineStr">
        <is>
          <t>计算机网络系统</t>
        </is>
      </c>
      <c r="D53" s="39" t="n"/>
      <c r="E53" s="68" t="inlineStr">
        <is>
          <t>㎡</t>
        </is>
      </c>
      <c r="F53" s="41" t="n"/>
      <c r="G53" s="41" t="n"/>
      <c r="H53" s="41" t="n"/>
      <c r="I53" s="457" t="n"/>
      <c r="J53" s="452" t="inlineStr">
        <is>
          <t>单体建筑面积</t>
        </is>
      </c>
      <c r="K53" s="457" t="n"/>
      <c r="L53" s="48" t="inlineStr">
        <is>
          <t>区域智能化面积</t>
        </is>
      </c>
    </row>
    <row r="54" hidden="1" outlineLevel="1" ht="25" customFormat="1" customHeight="1" s="3">
      <c r="A54" s="36" t="n">
        <v>5.2</v>
      </c>
      <c r="B54" s="37" t="n"/>
      <c r="C54" s="38" t="inlineStr">
        <is>
          <t>综合布线系统</t>
        </is>
      </c>
      <c r="D54" s="73" t="n"/>
      <c r="E54" s="68" t="inlineStr">
        <is>
          <t>㎡</t>
        </is>
      </c>
      <c r="F54" s="74" t="n"/>
      <c r="G54" s="74" t="n"/>
      <c r="H54" s="74" t="n"/>
      <c r="I54" s="457" t="n"/>
      <c r="J54" s="452" t="inlineStr">
        <is>
          <t>单体建筑面积</t>
        </is>
      </c>
      <c r="K54" s="457" t="n"/>
      <c r="L54" s="48" t="inlineStr">
        <is>
          <t>区域智能化面积</t>
        </is>
      </c>
    </row>
    <row r="55" hidden="1" outlineLevel="1" ht="25" customFormat="1" customHeight="1" s="3">
      <c r="A55" s="36" t="n">
        <v>5.3</v>
      </c>
      <c r="B55" s="37" t="n"/>
      <c r="C55" s="38" t="inlineStr">
        <is>
          <t>安全防范系统-人侵报警系统</t>
        </is>
      </c>
      <c r="D55" s="39" t="n"/>
      <c r="E55" s="68" t="inlineStr">
        <is>
          <t>㎡</t>
        </is>
      </c>
      <c r="F55" s="41" t="n"/>
      <c r="G55" s="41" t="n"/>
      <c r="H55" s="41" t="n"/>
      <c r="I55" s="457" t="n"/>
      <c r="J55" s="452" t="inlineStr">
        <is>
          <t>单体建筑面积</t>
        </is>
      </c>
      <c r="K55" s="457" t="n"/>
      <c r="L55" s="48" t="inlineStr">
        <is>
          <t>区域智能化面积</t>
        </is>
      </c>
    </row>
    <row r="56" hidden="1" outlineLevel="1" ht="25" customFormat="1" customHeight="1" s="3">
      <c r="A56" s="36" t="n">
        <v>5.4</v>
      </c>
      <c r="B56" s="37" t="n"/>
      <c r="C56" s="38" t="inlineStr">
        <is>
          <t>安全防范系统-出入口控制系统</t>
        </is>
      </c>
      <c r="D56" s="39" t="n"/>
      <c r="E56" s="68" t="inlineStr">
        <is>
          <t>㎡</t>
        </is>
      </c>
      <c r="F56" s="41" t="n"/>
      <c r="G56" s="41" t="n"/>
      <c r="H56" s="41" t="n"/>
      <c r="I56" s="457" t="n"/>
      <c r="J56" s="452" t="inlineStr">
        <is>
          <t>单体建筑面积</t>
        </is>
      </c>
      <c r="K56" s="457" t="n"/>
      <c r="L56" s="48" t="inlineStr">
        <is>
          <t>区域智能化面积</t>
        </is>
      </c>
    </row>
    <row r="57" hidden="1" outlineLevel="1" ht="25" customFormat="1" customHeight="1" s="4">
      <c r="A57" s="36" t="n">
        <v>5.5</v>
      </c>
      <c r="B57" s="37" t="n"/>
      <c r="C57" s="38" t="inlineStr">
        <is>
          <t>安全防范系统-电子巡查系统</t>
        </is>
      </c>
      <c r="D57" s="39" t="n"/>
      <c r="E57" s="68" t="inlineStr">
        <is>
          <t>㎡</t>
        </is>
      </c>
      <c r="F57" s="41" t="n"/>
      <c r="G57" s="41" t="n"/>
      <c r="H57" s="41" t="n"/>
      <c r="I57" s="457" t="n"/>
      <c r="J57" s="452" t="inlineStr">
        <is>
          <t>单体建筑面积</t>
        </is>
      </c>
      <c r="K57" s="457" t="n"/>
      <c r="L57" s="48" t="inlineStr">
        <is>
          <t>区域智能化面积</t>
        </is>
      </c>
    </row>
    <row r="58" hidden="1" outlineLevel="1" ht="25" customFormat="1" customHeight="1" s="3">
      <c r="A58" s="36" t="n">
        <v>5.6</v>
      </c>
      <c r="B58" s="37" t="n"/>
      <c r="C58" s="38" t="inlineStr">
        <is>
          <t>安全防范系统-视频安防监控系统</t>
        </is>
      </c>
      <c r="D58" s="52" t="n"/>
      <c r="E58" s="68" t="inlineStr">
        <is>
          <t>㎡</t>
        </is>
      </c>
      <c r="F58" s="53" t="n"/>
      <c r="G58" s="53" t="n"/>
      <c r="H58" s="53" t="n"/>
      <c r="I58" s="454" t="n"/>
      <c r="J58" s="452" t="inlineStr">
        <is>
          <t>单体建筑面积</t>
        </is>
      </c>
      <c r="K58" s="454" t="n"/>
      <c r="L58" s="48" t="inlineStr">
        <is>
          <t>区域智能化面积</t>
        </is>
      </c>
    </row>
    <row r="59" hidden="1" outlineLevel="1" ht="25" customFormat="1" customHeight="1" s="3">
      <c r="A59" s="36" t="n">
        <v>5.7</v>
      </c>
      <c r="B59" s="37" t="n"/>
      <c r="C59" s="38" t="inlineStr">
        <is>
          <t>安全防范系统-停车库(场)管理系统</t>
        </is>
      </c>
      <c r="D59" s="44" t="n"/>
      <c r="E59" s="68" t="inlineStr">
        <is>
          <t>㎡</t>
        </is>
      </c>
      <c r="F59" s="46" t="n"/>
      <c r="G59" s="46" t="n"/>
      <c r="H59" s="46" t="n"/>
      <c r="I59" s="457" t="n"/>
      <c r="J59" s="452" t="inlineStr">
        <is>
          <t>单体建筑面积</t>
        </is>
      </c>
      <c r="K59" s="457" t="n"/>
      <c r="L59" s="48" t="inlineStr">
        <is>
          <t>区域智能化面积</t>
        </is>
      </c>
    </row>
    <row r="60" hidden="1" outlineLevel="1" ht="25" customFormat="1" customHeight="1" s="3">
      <c r="A60" s="36" t="n">
        <v>5.8</v>
      </c>
      <c r="B60" s="37" t="n"/>
      <c r="C60" s="38" t="inlineStr">
        <is>
          <t>安全防范系统-停车引导系统</t>
        </is>
      </c>
      <c r="D60" s="39" t="n"/>
      <c r="E60" s="68" t="inlineStr">
        <is>
          <t>㎡</t>
        </is>
      </c>
      <c r="F60" s="41" t="n"/>
      <c r="G60" s="41" t="n"/>
      <c r="H60" s="41" t="n"/>
      <c r="I60" s="457" t="n"/>
      <c r="J60" s="452" t="inlineStr">
        <is>
          <t>单体建筑面积</t>
        </is>
      </c>
      <c r="K60" s="457" t="n"/>
      <c r="L60" s="48" t="inlineStr">
        <is>
          <t>区域智能化面积</t>
        </is>
      </c>
    </row>
    <row r="61" hidden="1" outlineLevel="1" ht="25" customFormat="1" customHeight="1" s="3">
      <c r="A61" s="36" t="n">
        <v>5.9</v>
      </c>
      <c r="B61" s="37" t="n"/>
      <c r="C61" s="38" t="inlineStr">
        <is>
          <t>安全防范系统-可视对讲系统</t>
        </is>
      </c>
      <c r="D61" s="39" t="n"/>
      <c r="E61" s="68" t="inlineStr">
        <is>
          <t>㎡</t>
        </is>
      </c>
      <c r="F61" s="41" t="n"/>
      <c r="G61" s="41" t="n"/>
      <c r="H61" s="41" t="n"/>
      <c r="I61" s="457" t="n"/>
      <c r="J61" s="452" t="inlineStr">
        <is>
          <t>单体建筑面积</t>
        </is>
      </c>
      <c r="K61" s="457" t="n"/>
      <c r="L61" s="48" t="inlineStr">
        <is>
          <t>区域智能化面积</t>
        </is>
      </c>
    </row>
    <row r="62" hidden="1" outlineLevel="1" ht="25" customFormat="1" customHeight="1" s="3">
      <c r="A62" s="462" t="n">
        <v>5.1</v>
      </c>
      <c r="B62" s="37" t="n"/>
      <c r="C62" s="82" t="inlineStr">
        <is>
          <t>综合管理(平台)系统</t>
        </is>
      </c>
      <c r="D62" s="39" t="n"/>
      <c r="E62" s="68" t="inlineStr">
        <is>
          <t>㎡</t>
        </is>
      </c>
      <c r="F62" s="41" t="n"/>
      <c r="G62" s="41" t="n"/>
      <c r="H62" s="41" t="n"/>
      <c r="I62" s="457" t="n"/>
      <c r="J62" s="452" t="inlineStr">
        <is>
          <t>单体建筑面积</t>
        </is>
      </c>
      <c r="K62" s="457" t="n"/>
      <c r="L62" s="48" t="inlineStr">
        <is>
          <t>区域智能化面积</t>
        </is>
      </c>
    </row>
    <row r="63" hidden="1" outlineLevel="1" ht="25" customFormat="1" customHeight="1" s="3">
      <c r="A63" s="36" t="n">
        <v>5.11</v>
      </c>
      <c r="B63" s="37" t="n"/>
      <c r="C63" s="38" t="inlineStr">
        <is>
          <t>公共广播系统</t>
        </is>
      </c>
      <c r="D63" s="52" t="n"/>
      <c r="E63" s="68" t="inlineStr">
        <is>
          <t>㎡</t>
        </is>
      </c>
      <c r="F63" s="53" t="n"/>
      <c r="G63" s="53" t="n"/>
      <c r="H63" s="53" t="n"/>
      <c r="I63" s="454" t="n"/>
      <c r="J63" s="452" t="inlineStr">
        <is>
          <t>单体建筑面积</t>
        </is>
      </c>
      <c r="K63" s="454" t="n"/>
      <c r="L63" s="48" t="inlineStr">
        <is>
          <t>区域智能化面积</t>
        </is>
      </c>
    </row>
    <row r="64" hidden="1" outlineLevel="1" ht="25" customFormat="1" customHeight="1" s="3">
      <c r="A64" s="36" t="n">
        <v>5.12</v>
      </c>
      <c r="B64" s="37" t="n"/>
      <c r="C64" s="38" t="inlineStr">
        <is>
          <t>建筑设备监控系统</t>
        </is>
      </c>
      <c r="D64" s="76" t="n"/>
      <c r="E64" s="68" t="inlineStr">
        <is>
          <t>㎡</t>
        </is>
      </c>
      <c r="F64" s="77" t="n"/>
      <c r="G64" s="77" t="n"/>
      <c r="H64" s="77" t="n"/>
      <c r="I64" s="457" t="n"/>
      <c r="J64" s="452" t="inlineStr">
        <is>
          <t>单体建筑面积</t>
        </is>
      </c>
      <c r="K64" s="457" t="n"/>
      <c r="L64" s="48" t="inlineStr">
        <is>
          <t>区域智能化面积</t>
        </is>
      </c>
    </row>
    <row r="65" hidden="1" outlineLevel="1" ht="25" customFormat="1" customHeight="1" s="3">
      <c r="A65" s="462" t="n">
        <v>5.13</v>
      </c>
      <c r="B65" s="37" t="n"/>
      <c r="C65" s="38" t="inlineStr">
        <is>
          <t>建筑能耗监测系统</t>
        </is>
      </c>
      <c r="D65" s="39" t="n"/>
      <c r="E65" s="68" t="inlineStr">
        <is>
          <t>㎡</t>
        </is>
      </c>
      <c r="F65" s="41" t="n"/>
      <c r="G65" s="41" t="n"/>
      <c r="H65" s="41" t="n"/>
      <c r="I65" s="457" t="n"/>
      <c r="J65" s="452" t="inlineStr">
        <is>
          <t>单体建筑面积</t>
        </is>
      </c>
      <c r="K65" s="457" t="n"/>
      <c r="L65" s="48" t="inlineStr">
        <is>
          <t>区域智能化面积</t>
        </is>
      </c>
    </row>
    <row r="66" hidden="1" outlineLevel="1" ht="25" customFormat="1" customHeight="1" s="3">
      <c r="A66" s="36" t="n">
        <v>5.14</v>
      </c>
      <c r="B66" s="37" t="n"/>
      <c r="C66" s="38" t="inlineStr">
        <is>
          <t>有线电视系统</t>
        </is>
      </c>
      <c r="D66" s="39" t="n"/>
      <c r="E66" s="68" t="inlineStr">
        <is>
          <t>㎡</t>
        </is>
      </c>
      <c r="F66" s="41" t="n"/>
      <c r="G66" s="41" t="n"/>
      <c r="H66" s="41" t="n"/>
      <c r="I66" s="457" t="n"/>
      <c r="J66" s="452" t="inlineStr">
        <is>
          <t>单体建筑面积</t>
        </is>
      </c>
      <c r="K66" s="457" t="n"/>
      <c r="L66" s="48" t="inlineStr">
        <is>
          <t>区域智能化面积</t>
        </is>
      </c>
    </row>
    <row r="67" hidden="1" outlineLevel="1" ht="25" customFormat="1" customHeight="1" s="3">
      <c r="A67" s="36" t="n">
        <v>5.15</v>
      </c>
      <c r="B67" s="37" t="n"/>
      <c r="C67" s="82" t="inlineStr">
        <is>
          <t>智能照明系统</t>
        </is>
      </c>
      <c r="D67" s="52" t="n"/>
      <c r="E67" s="68" t="inlineStr">
        <is>
          <t>㎡</t>
        </is>
      </c>
      <c r="F67" s="53" t="n"/>
      <c r="G67" s="53" t="n"/>
      <c r="H67" s="53" t="n"/>
      <c r="I67" s="454" t="n"/>
      <c r="J67" s="452" t="inlineStr">
        <is>
          <t>单体建筑面积</t>
        </is>
      </c>
      <c r="K67" s="454" t="n"/>
      <c r="L67" s="48" t="inlineStr">
        <is>
          <t>区域智能化面积</t>
        </is>
      </c>
    </row>
    <row r="68" hidden="1" outlineLevel="1" ht="25" customFormat="1" customHeight="1" s="3">
      <c r="A68" s="462" t="n">
        <v>5.16</v>
      </c>
      <c r="B68" s="37" t="n"/>
      <c r="C68" s="38" t="inlineStr">
        <is>
          <t>电梯五方通话系统</t>
        </is>
      </c>
      <c r="D68" s="76" t="n"/>
      <c r="E68" s="68" t="inlineStr">
        <is>
          <t>㎡</t>
        </is>
      </c>
      <c r="F68" s="77" t="n"/>
      <c r="G68" s="77" t="n"/>
      <c r="H68" s="77" t="n"/>
      <c r="I68" s="457" t="n"/>
      <c r="J68" s="452" t="inlineStr">
        <is>
          <t>单体建筑面积</t>
        </is>
      </c>
      <c r="K68" s="457" t="n"/>
      <c r="L68" s="48" t="inlineStr">
        <is>
          <t>区域智能化面积</t>
        </is>
      </c>
    </row>
    <row r="69" hidden="1" outlineLevel="1" ht="25" customFormat="1" customHeight="1" s="3">
      <c r="A69" s="36" t="n">
        <v>5.17</v>
      </c>
      <c r="B69" s="37" t="n"/>
      <c r="C69" s="82" t="inlineStr">
        <is>
          <t>信息引导及发布系统</t>
        </is>
      </c>
      <c r="D69" s="76" t="n"/>
      <c r="E69" s="68" t="inlineStr">
        <is>
          <t>㎡</t>
        </is>
      </c>
      <c r="F69" s="77" t="n"/>
      <c r="G69" s="77" t="n"/>
      <c r="H69" s="77" t="n"/>
      <c r="I69" s="457" t="n"/>
      <c r="J69" s="452" t="inlineStr">
        <is>
          <t>单体建筑面积</t>
        </is>
      </c>
      <c r="K69" s="457" t="n"/>
      <c r="L69" s="48" t="inlineStr">
        <is>
          <t>区域智能化面积</t>
        </is>
      </c>
    </row>
    <row r="70" hidden="1" outlineLevel="1" ht="25" customFormat="1" customHeight="1" s="3">
      <c r="A70" s="36" t="n">
        <v>5.18</v>
      </c>
      <c r="B70" s="37" t="n"/>
      <c r="C70" s="82" t="inlineStr">
        <is>
          <t>会议系统</t>
        </is>
      </c>
      <c r="D70" s="80" t="n"/>
      <c r="E70" s="68" t="inlineStr">
        <is>
          <t>㎡</t>
        </is>
      </c>
      <c r="F70" s="81" t="n"/>
      <c r="G70" s="81" t="n"/>
      <c r="H70" s="81" t="n"/>
      <c r="I70" s="457" t="n"/>
      <c r="J70" s="452" t="inlineStr">
        <is>
          <t>单体建筑面积</t>
        </is>
      </c>
      <c r="K70" s="457" t="n"/>
      <c r="L70" s="48" t="inlineStr">
        <is>
          <t>区域智能化面积</t>
        </is>
      </c>
    </row>
    <row r="71" hidden="1" outlineLevel="1" ht="25" customFormat="1" customHeight="1" s="3">
      <c r="A71" s="462" t="n">
        <v>5.19</v>
      </c>
      <c r="B71" s="37" t="n"/>
      <c r="C71" s="82" t="inlineStr">
        <is>
          <t>舞台灯光系统</t>
        </is>
      </c>
      <c r="D71" s="80" t="n"/>
      <c r="E71" s="68" t="inlineStr">
        <is>
          <t>㎡</t>
        </is>
      </c>
      <c r="F71" s="81" t="n"/>
      <c r="G71" s="81" t="n"/>
      <c r="H71" s="81" t="n"/>
      <c r="I71" s="457" t="n"/>
      <c r="J71" s="452" t="inlineStr">
        <is>
          <t>单体建筑面积</t>
        </is>
      </c>
      <c r="K71" s="457" t="n"/>
      <c r="L71" s="48" t="inlineStr">
        <is>
          <t>区域智能化面积</t>
        </is>
      </c>
    </row>
    <row r="72" hidden="1" outlineLevel="1" ht="25" customFormat="1" customHeight="1" s="3">
      <c r="A72" s="462" t="n">
        <v>5.2</v>
      </c>
      <c r="B72" s="37" t="n"/>
      <c r="C72" s="82" t="inlineStr">
        <is>
          <t>机房工程(信息网络机房)</t>
        </is>
      </c>
      <c r="D72" s="80" t="n"/>
      <c r="E72" s="68" t="inlineStr">
        <is>
          <t>㎡</t>
        </is>
      </c>
      <c r="F72" s="81" t="n"/>
      <c r="G72" s="81" t="n"/>
      <c r="H72" s="81" t="n"/>
      <c r="I72" s="457" t="n"/>
      <c r="J72" s="452" t="inlineStr">
        <is>
          <t>单体建筑面积</t>
        </is>
      </c>
      <c r="K72" s="457" t="n"/>
      <c r="L72" s="48" t="inlineStr">
        <is>
          <t>区域智能化面积</t>
        </is>
      </c>
    </row>
    <row r="73" hidden="1" outlineLevel="1" ht="25" customFormat="1" customHeight="1" s="3">
      <c r="A73" s="36" t="n">
        <v>5.21</v>
      </c>
      <c r="B73" s="37" t="n"/>
      <c r="C73" s="38" t="inlineStr">
        <is>
          <t>机房环境工程</t>
        </is>
      </c>
      <c r="D73" s="81" t="n"/>
      <c r="E73" s="68" t="inlineStr">
        <is>
          <t>㎡</t>
        </is>
      </c>
      <c r="F73" s="81" t="n"/>
      <c r="G73" s="81" t="n"/>
      <c r="H73" s="81" t="n"/>
      <c r="I73" s="457" t="n"/>
      <c r="J73" s="452" t="inlineStr">
        <is>
          <t>单体建筑面积</t>
        </is>
      </c>
      <c r="K73" s="457" t="n"/>
      <c r="L73" s="48" t="inlineStr">
        <is>
          <t>区域智能化面积</t>
        </is>
      </c>
    </row>
    <row r="74" hidden="1" outlineLevel="1" ht="25" customFormat="1" customHeight="1" s="3">
      <c r="A74" s="462" t="n">
        <v>5.22</v>
      </c>
      <c r="B74" s="37" t="n"/>
      <c r="C74" s="38" t="inlineStr">
        <is>
          <t>综合管路系统(28)</t>
        </is>
      </c>
      <c r="D74" s="81" t="n"/>
      <c r="E74" s="68" t="inlineStr">
        <is>
          <t>㎡</t>
        </is>
      </c>
      <c r="F74" s="81" t="n"/>
      <c r="G74" s="81" t="n"/>
      <c r="H74" s="81" t="n"/>
      <c r="I74" s="457" t="n"/>
      <c r="J74" s="452" t="inlineStr">
        <is>
          <t>单体建筑面积</t>
        </is>
      </c>
      <c r="K74" s="457" t="n"/>
      <c r="L74" s="48" t="inlineStr">
        <is>
          <t>区域智能化面积</t>
        </is>
      </c>
    </row>
    <row r="75" hidden="1" outlineLevel="1" ht="25" customFormat="1" customHeight="1" s="3">
      <c r="A75" s="36" t="n">
        <v>5.23</v>
      </c>
      <c r="B75" s="37" t="n"/>
      <c r="C75" s="38" t="inlineStr">
        <is>
          <t>其他建筑智能化系统(99)</t>
        </is>
      </c>
      <c r="D75" s="53" t="n"/>
      <c r="E75" s="68" t="inlineStr">
        <is>
          <t>㎡</t>
        </is>
      </c>
      <c r="F75" s="53" t="n"/>
      <c r="G75" s="53" t="n"/>
      <c r="H75" s="53" t="n"/>
      <c r="I75" s="454" t="n"/>
      <c r="J75" s="452" t="inlineStr">
        <is>
          <t>单体建筑面积</t>
        </is>
      </c>
      <c r="K75" s="454" t="n"/>
      <c r="L75" s="48" t="inlineStr">
        <is>
          <t>区域智能化面积</t>
        </is>
      </c>
    </row>
    <row r="76" ht="25" customFormat="1" customHeight="1" s="3">
      <c r="A76" s="27" t="n">
        <v>6</v>
      </c>
      <c r="B76" s="28" t="n"/>
      <c r="C76" s="29" t="inlineStr">
        <is>
          <t>电梯工程</t>
        </is>
      </c>
      <c r="D76" s="56" t="n"/>
      <c r="E76" s="57" t="inlineStr">
        <is>
          <t>台</t>
        </is>
      </c>
      <c r="F76" s="58" t="n"/>
      <c r="G76" s="58" t="n"/>
      <c r="H76" s="58" t="n"/>
      <c r="I76" s="455" t="n"/>
      <c r="J76" s="456" t="inlineStr">
        <is>
          <t>单体建筑面积</t>
        </is>
      </c>
      <c r="K76" s="455" t="n"/>
      <c r="L76" s="61" t="n"/>
    </row>
    <row r="77" outlineLevel="1" ht="25" customFormat="1" customHeight="1" s="3">
      <c r="A77" s="36" t="n">
        <v>6.1</v>
      </c>
      <c r="B77" s="37" t="n"/>
      <c r="C77" s="37" t="inlineStr">
        <is>
          <t>垂直升降电梯</t>
        </is>
      </c>
      <c r="D77" s="39" t="n"/>
      <c r="E77" s="68" t="inlineStr">
        <is>
          <t>台</t>
        </is>
      </c>
      <c r="F77" s="41" t="n"/>
      <c r="G77" s="41" t="n"/>
      <c r="H77" s="41" t="n"/>
      <c r="I77" s="457" t="n"/>
      <c r="J77" s="452" t="inlineStr">
        <is>
          <t>单体建筑面积</t>
        </is>
      </c>
      <c r="K77" s="457" t="n"/>
      <c r="L77" s="48" t="inlineStr">
        <is>
          <t>电梯台数</t>
        </is>
      </c>
    </row>
    <row r="78" outlineLevel="1" ht="25" customFormat="1" customHeight="1" s="3">
      <c r="A78" s="36" t="n">
        <v>6.2</v>
      </c>
      <c r="B78" s="37" t="n"/>
      <c r="C78" s="37" t="inlineStr">
        <is>
          <t>自动扶梯与人行道</t>
        </is>
      </c>
      <c r="D78" s="73" t="n"/>
      <c r="E78" s="68" t="inlineStr">
        <is>
          <t>台</t>
        </is>
      </c>
      <c r="F78" s="74" t="n"/>
      <c r="G78" s="74" t="n"/>
      <c r="H78" s="74" t="n"/>
      <c r="I78" s="457" t="n"/>
      <c r="J78" s="452" t="inlineStr">
        <is>
          <t>单体建筑面积</t>
        </is>
      </c>
      <c r="K78" s="457" t="n"/>
      <c r="L78" s="48" t="inlineStr">
        <is>
          <t>扶梯与人行道台数</t>
        </is>
      </c>
    </row>
    <row r="79" ht="25" customHeight="1" s="388"/>
    <row r="80" ht="25" customHeight="1" s="388"/>
    <row r="81" ht="25" customHeight="1" s="388"/>
    <row r="82" ht="25" customHeight="1" s="388"/>
    <row r="83" ht="25" customHeight="1" s="388"/>
  </sheetData>
  <mergeCells count="12">
    <mergeCell ref="C3:C4"/>
    <mergeCell ref="A2:H2"/>
    <mergeCell ref="B3:B4"/>
    <mergeCell ref="A3:A4"/>
    <mergeCell ref="A1:L1"/>
    <mergeCell ref="E3:E4"/>
    <mergeCell ref="F3:F4"/>
    <mergeCell ref="D3:D4"/>
    <mergeCell ref="G3:G4"/>
    <mergeCell ref="H3:H4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2022-09-02T07:00:00Z</dcterms:created>
  <dcterms:modified xsi:type="dcterms:W3CDTF">2026-08-28T18:48:01Z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C09F708C84F54EB8B28378303037D27D_13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